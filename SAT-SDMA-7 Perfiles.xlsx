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aquell.martinez\Documents\AISolutions\analyzeCV\"/>
    </mc:Choice>
  </mc:AlternateContent>
  <xr:revisionPtr revIDLastSave="0" documentId="13_ncr:1_{EA40D273-99EB-4793-8B74-8F950E1FE931}" xr6:coauthVersionLast="47" xr6:coauthVersionMax="47" xr10:uidLastSave="{00000000-0000-0000-0000-000000000000}"/>
  <bookViews>
    <workbookView xWindow="28680" yWindow="-120" windowWidth="29040" windowHeight="15720" firstSheet="2" activeTab="2" xr2:uid="{D74C329F-941D-40F9-B295-21746B646AD6}"/>
  </bookViews>
  <sheets>
    <sheet name="Líneas de acción" sheetId="5" state="hidden" r:id="rId1"/>
    <sheet name="Cantidad de Expedientes" sheetId="4" state="hidden" r:id="rId2"/>
    <sheet name="Requerimiento" sheetId="1" r:id="rId3"/>
    <sheet name="Cursos_certificaciones" sheetId="9" state="hidden" r:id="rId4"/>
    <sheet name="Sheet2" sheetId="10" state="hidden" r:id="rId5"/>
    <sheet name="Sheet3" sheetId="11" state="hidden" r:id="rId6"/>
    <sheet name="Estudios nivel superior acredit" sheetId="8" r:id="rId7"/>
    <sheet name="Tecnologías AT (anexo técnico)" sheetId="6" r:id="rId8"/>
    <sheet name="Sheet1" sheetId="7" state="hidden" r:id="rId9"/>
  </sheets>
  <definedNames>
    <definedName name="_xlnm._FilterDatabase" localSheetId="3" hidden="1">Cursos_certificaciones!$B$2:$AI$25</definedName>
    <definedName name="_xlnm._FilterDatabase" localSheetId="2" hidden="1">Requerimiento!$A$2:$AO$25</definedName>
    <definedName name="_xlnm._FilterDatabase" localSheetId="4" hidden="1">Sheet2!$B$2:$AI$25</definedName>
    <definedName name="_Toc215836701" localSheetId="2">Requerimiento!$B$23</definedName>
    <definedName name="_Toc215836702" localSheetId="2">Requerimiento!#REF!</definedName>
    <definedName name="_Toc215836703" localSheetId="2">Requerimiento!#REF!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5" i="1" l="1"/>
  <c r="E55" i="9"/>
  <c r="E40" i="9"/>
  <c r="E68" i="9"/>
  <c r="E25" i="10"/>
  <c r="E25" i="9"/>
  <c r="Q5" i="4"/>
  <c r="I14" i="4"/>
  <c r="J14" i="4"/>
  <c r="L28" i="4" l="1"/>
  <c r="I27" i="4"/>
  <c r="M27" i="4"/>
  <c r="O27" i="4"/>
  <c r="I2" i="4"/>
  <c r="L30" i="4"/>
  <c r="K30" i="4"/>
  <c r="N30" i="4" s="1"/>
  <c r="J30" i="4"/>
  <c r="L29" i="4"/>
  <c r="K29" i="4"/>
  <c r="N29" i="4" s="1"/>
  <c r="J29" i="4"/>
  <c r="K28" i="4"/>
  <c r="J28" i="4"/>
  <c r="N27" i="4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Nohemi Zuleima Flores Vazquez</author>
    <author>User ABC</author>
  </authors>
  <commentList>
    <comment ref="K2" authorId="0" shapeId="0" xr:uid="{ADD0B85A-0395-4EE5-B55A-0D3896EC0278}">
      <text>
        <r>
          <rPr>
            <b/>
            <sz val="9"/>
            <color indexed="81"/>
            <rFont val="Tahoma"/>
            <family val="2"/>
          </rPr>
          <t>Nohemi Zuleima Flores Vazquez:</t>
        </r>
        <r>
          <rPr>
            <sz val="9"/>
            <color indexed="81"/>
            <rFont val="Tahoma"/>
            <family val="2"/>
          </rPr>
          <t xml:space="preserve">
Debe ser Titulo o cedula</t>
        </r>
      </text>
    </comment>
    <comment ref="L2" authorId="1" shapeId="0" xr:uid="{EF593977-1339-481E-B8AD-5F08BEE94031}">
      <text>
        <r>
          <rPr>
            <b/>
            <sz val="9"/>
            <color indexed="81"/>
            <rFont val="Tahoma"/>
            <family val="2"/>
          </rPr>
          <t>User ABC:</t>
        </r>
        <r>
          <rPr>
            <sz val="9"/>
            <color indexed="81"/>
            <rFont val="Tahoma"/>
            <family val="2"/>
          </rPr>
          <t xml:space="preserve">
(Curso Gestión de servicios en tecnologías de la informació)</t>
        </r>
      </text>
    </comment>
    <comment ref="E19" authorId="0" shapeId="0" xr:uid="{CCE618AA-F864-46BB-BC7E-BFDC531212C9}">
      <text>
        <r>
          <rPr>
            <b/>
            <sz val="9"/>
            <color indexed="81"/>
            <rFont val="Tahoma"/>
            <family val="2"/>
          </rPr>
          <t>Nohemi Zuleima Flores Vazquez:
Distribución perfiles</t>
        </r>
        <r>
          <rPr>
            <sz val="9"/>
            <color indexed="81"/>
            <rFont val="Tahoma"/>
            <family val="2"/>
          </rPr>
          <t xml:space="preserve">
3 / IM
9 / AMS
</t>
        </r>
      </text>
    </comment>
    <comment ref="F20" authorId="1" shapeId="0" xr:uid="{F77BF52E-B6F4-4C6A-8765-41EDB739BBD0}">
      <text>
        <r>
          <rPr>
            <b/>
            <sz val="9"/>
            <color indexed="81"/>
            <rFont val="Tahoma"/>
            <family val="2"/>
          </rPr>
          <t>User ABC:</t>
        </r>
        <r>
          <rPr>
            <sz val="9"/>
            <color indexed="81"/>
            <rFont val="Tahoma"/>
            <family val="2"/>
          </rPr>
          <t xml:space="preserve">
Servicios Integrales,Contenedores y Microservicios,MAT,Legados,BI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 ABC</author>
  </authors>
  <commentList>
    <comment ref="F2" authorId="0" shapeId="0" xr:uid="{5D60C34F-32CE-456F-9992-C1CC359C5F43}">
      <text>
        <r>
          <rPr>
            <b/>
            <sz val="9"/>
            <color indexed="81"/>
            <rFont val="Tahoma"/>
            <family val="2"/>
          </rPr>
          <t>User ABC:</t>
        </r>
        <r>
          <rPr>
            <sz val="9"/>
            <color indexed="81"/>
            <rFont val="Tahoma"/>
            <family val="2"/>
          </rPr>
          <t xml:space="preserve">
(Curso Gestión de servicios en tecnologías de la informació)</t>
        </r>
      </text>
    </comment>
  </commentList>
</comments>
</file>

<file path=xl/sharedStrings.xml><?xml version="1.0" encoding="utf-8"?>
<sst xmlns="http://schemas.openxmlformats.org/spreadsheetml/2006/main" count="3329" uniqueCount="370">
  <si>
    <t>Director de proyecto</t>
  </si>
  <si>
    <t>A</t>
  </si>
  <si>
    <t>Perfil</t>
  </si>
  <si>
    <t>Coordinar actividades de gerentes, PMO’s, líderes, especialistas técnicos y administrativos que conformen el proyecto y revisión mensual de los servicios; en sitio o bajo demanda.</t>
  </si>
  <si>
    <t>Al menos 5 años de experiencia en dirección de proyectos similares al objeto de la presente licitación.</t>
  </si>
  <si>
    <t>Gerente de operación</t>
  </si>
  <si>
    <t>Gerente de Mesa de Servicios</t>
  </si>
  <si>
    <t>Dirigir y coordinar a los equipos de trabajo de las líneas de continuidad para restaurar un servicio ante fallas que se presenten en la operación de los aplicativos.</t>
  </si>
  <si>
    <t>Gerente de entrega documental</t>
  </si>
  <si>
    <t>Dar seguimiento y realizar la entrega documental y recopilación de firmas que sustentan las evidencias de los servicios prestados.</t>
  </si>
  <si>
    <t>Coordinar actividades de personal especialista y profesional técnico para cumplimiento de procesos y garantizar la continuidad de los servicios.</t>
  </si>
  <si>
    <t>--</t>
  </si>
  <si>
    <t>Al menos 5 años de experiencia en Mesa de Servicios.</t>
  </si>
  <si>
    <t>Al menos 5 años de experiencia en entrega documental.</t>
  </si>
  <si>
    <t>Curso ISO 9001</t>
  </si>
  <si>
    <t xml:space="preserve">Curso ITIL V4 Foundation </t>
  </si>
  <si>
    <t>Planeación de Arranque</t>
  </si>
  <si>
    <t>Administrador de proyectos</t>
  </si>
  <si>
    <t>Líder Técnico</t>
  </si>
  <si>
    <t>Líder Técnico de atención de incidentes</t>
  </si>
  <si>
    <t>1 x 30 inc</t>
  </si>
  <si>
    <t>Creación</t>
  </si>
  <si>
    <t xml:space="preserve">Planificar, ejecutar y supervisar proyectos de principio a su fin, asegurando que se cumplan los objetivos dentro del plazo establecido.    Habilidades en:   Gestión de proyectos  Liderazgo  Detección y gestión de riesgos  Resolución de problemas  Comunicación   Organización  </t>
  </si>
  <si>
    <t xml:space="preserve">Experiencia de al menos 5 años comprobados en gestión de proyectos grandes o críticos     Adicional:  Al menos 3 años de experiencia comprobada en proyectos de desarrollo Ágil            </t>
  </si>
  <si>
    <t>Continuidad</t>
  </si>
  <si>
    <t>Funciones</t>
  </si>
  <si>
    <t>Experiencia</t>
  </si>
  <si>
    <t>Grupo</t>
  </si>
  <si>
    <t>Cant</t>
  </si>
  <si>
    <t>Cob</t>
  </si>
  <si>
    <t>APPDEV</t>
  </si>
  <si>
    <t>AMS</t>
  </si>
  <si>
    <t>Gob</t>
  </si>
  <si>
    <t>Analista de entrega documental</t>
  </si>
  <si>
    <t>Realizar la entrega documental y recopilación de firmas que sustentan las evidencias de los servicios prestados</t>
  </si>
  <si>
    <t>Ofimática</t>
  </si>
  <si>
    <t>2 DEV
1 CO
1 SE</t>
  </si>
  <si>
    <t>Notas Cant</t>
  </si>
  <si>
    <t>PMP</t>
  </si>
  <si>
    <t>ITIL v 4.0</t>
  </si>
  <si>
    <t>SCRUM Master /
PMI ACP</t>
  </si>
  <si>
    <t>1 x c/5 proy</t>
  </si>
  <si>
    <t>Analista Senior</t>
  </si>
  <si>
    <t>Al menos 5 años de experiencia en análisis de sistemas, aplicaciones, servicios, procesos y/o soluciones de Inteligencia de Negocio y manejo de equipos de trabajo.</t>
  </si>
  <si>
    <t>Product Owner</t>
  </si>
  <si>
    <t>Experiencia de usuario e interfaz de usuario (UX, UI)</t>
  </si>
  <si>
    <t>CBAP</t>
  </si>
  <si>
    <t>CCBA</t>
  </si>
  <si>
    <t>ECBA</t>
  </si>
  <si>
    <t xml:space="preserve">CBAP nivel experto del IIBA </t>
  </si>
  <si>
    <t>CCBA nivel intermedio del IIBA</t>
  </si>
  <si>
    <t>ECBA nivel inicial del IIBA</t>
  </si>
  <si>
    <t>Analista Junior</t>
  </si>
  <si>
    <t>Al menos 1 año de experiencia en análisis de sistemas, aplicaciones, servicios, procesos y/o soluciones de Inteligencia de Negocio</t>
  </si>
  <si>
    <t>Metodologías ágiles</t>
  </si>
  <si>
    <t>Ingeniero de Datos BI Senior</t>
  </si>
  <si>
    <t>Al menos 5 años en el análisis de grandes volúmenes de datos y desarrollo de soluciones de Inteligencia de Negocio.</t>
  </si>
  <si>
    <t>Ingeniero de Datos BI Junior</t>
  </si>
  <si>
    <t>Al menos 2 años en el análisis de grandes volúmenes de datos y desarrollo de soluciones de Inteligencia de Negocio.</t>
  </si>
  <si>
    <t>Desarrollador Senior</t>
  </si>
  <si>
    <t>Desarrollador Senior BI</t>
  </si>
  <si>
    <t>Al menos 5 años en desarrollo de soluciones de BI, en servicios y aplicaciones web (frontend y backend), dashboards interactivos, tableros, informes automáticos, reportes</t>
  </si>
  <si>
    <t>Desarrollador Junior</t>
  </si>
  <si>
    <t>Al menos 2 años de experiencia en programación en tecnologías de la AR y/o tecnologías open source.</t>
  </si>
  <si>
    <t>Desarrollador Junior BI</t>
  </si>
  <si>
    <t>Arquitecto experto</t>
  </si>
  <si>
    <t>Tester</t>
  </si>
  <si>
    <t>Al menos 2 años de experiencia en pruebas de software</t>
  </si>
  <si>
    <t>Desarrollador de atención de incidentes</t>
  </si>
  <si>
    <t>Desarrollador BI de atención de incidentes</t>
  </si>
  <si>
    <t>Al menos 3 años en desarrollo de soluciones de BI, en servicios y aplicaciones web (frontend y backend), dashboards interactivos, tableros, informes automáticos, reportes</t>
  </si>
  <si>
    <t>Al menos 2 años de experiencia en desarrollo de servicios y aplicaciones web (Frontend y Backend), dashboards, interactivos, tableros, informes automáticos, reportes.</t>
  </si>
  <si>
    <t>Al menos 3 años de experiencia centro de desarrollo de software. 
Adicional: 5 años de experiencia en análisis de sistemas y manejo de equipos de trabajo</t>
  </si>
  <si>
    <t>Analizar las propuestas de requerimientos de mejora tecnológica y procesos con el fin de apoyar en tareas como; Levantamiento y documentación de requerimientos complejos, Coordinación con desarrolladores, testers y áreas de negocio, Validación funcional (pruebas de aceptación, seguimiento a QA), Interlocución con usuarios, Responsables de coordinar las actividades de los Analistas junior, Conocimiento total de los requerimientos del proyecto asignado
Habilidades en; Liderazgo, Identificar problemas, Proponer soluciones, Manejo de herramientas y metodologías de análisis (Design Thinking, UML), Habilidades de comunicación en diferentes audiencias., Elaboración de documentación en marco de trabajo tradicional y/o ágil</t>
  </si>
  <si>
    <t>Recopilar, analizar y representar los requerimientos solicitados.
Documentar la propuesta de solución en los entregables correspondientes.
Habilidades en; Recopilación de información, Análisis e interpretación de datos, Identificación de patrones y oportunidades de mejora., Generación de la documentación de requerimientos funcionales y técnicos., Adaptabilidad y flexibilidad</t>
  </si>
  <si>
    <t>Diseñar, construir y mantener soluciones tecnológicas dominando varios lenguajes de programación; así como, la adopción de buenas prácticas en diferentes metodologías de desarrollo.
Coordinar las actividades de los Desarrolladores Jr; así como, tener conocimiento total del desarrollo del proyecto asignado.
Habilidades en; Resolución de problemas, Liderazgo
Metodologías de desarrollo (Cascada, Agile, SAFE), Versionamiento del código (Git), Dominio en el desarrollo de servicios y aplicaciones web (frontend y backend), Dominio en técnicas de optimización de procesos.</t>
  </si>
  <si>
    <t>Diseñar, construir y mantener soluciones tecnológicas dominando varios lenguajes de programación; así como, la adopción de buenas prácticas en diferentes metodologías de desarrollo.
Coordinar las actividades de los Desarrolladores Jr; así como, tener conocimiento total del desarrollo del proyecto asignado.
Habilidades en; Dominio de Bases de Datos relacionales y no relacionales. , Técnicas de diseño para el Modelado de Datos., Metodologías de desarrollo (Cascada, Agile, SAFE)., Versionamiento del código (Git)., Dominio en técnicas de optimización de procesos., Dominio en el diseño y desarrollo de procesos ETL (Extract, Transform, Load).</t>
  </si>
  <si>
    <t>Crear los sistemas (paquetes de software), implementarlos y hacer una puesta punto para que puedan ser funcionales, todo ello a través de lenguajes de programación.
Habilidades en; Conceptos de programación, Trabajo en equipo</t>
  </si>
  <si>
    <t>Crear los sistemas (paquetes de software), implementarlos y hacer una puesta punto para que puedan ser funcionales, todo ello a través de lenguajes de programación.
Habilidades en; Bases de Datos relacionales y no relacionales, y técnicas de diseño para el Modelado de Datos., Desarrollo, mantenimiento y soporte de procesos ETL (Extract, Transform, Load)., Manejo de herramientas de BI (Databricks, Fabric).</t>
  </si>
  <si>
    <t>Mantener y dar soporte a los aplicativos dominando varios lenguajes de programación.
Habilidades en; Resolución de problemas, Versionamiento del código (Git), Dominio en el desarrollo de servicios y aplicaciones web (frontend y backend)</t>
  </si>
  <si>
    <t>Mantener y dar soporte a los aplicativos de Inteligencia de Negocio dominando varios lenguajes de programación.
Habilidades en; Dominio de Bases de Datos relacionales y no relacionales., Técnicas de diseño para el Modelado de Datos, Versionamiento del código (Git), Dominio en el diseño y desarrollo de procesos ETL (Extract, Transform, Load).</t>
  </si>
  <si>
    <t>VEU</t>
  </si>
  <si>
    <t>IM</t>
  </si>
  <si>
    <t>QA</t>
  </si>
  <si>
    <t>1 x c 2 proyectos</t>
  </si>
  <si>
    <t>AMS / IM</t>
  </si>
  <si>
    <t>Diagramación UML</t>
  </si>
  <si>
    <t>Líder técnico</t>
  </si>
  <si>
    <t>Sr</t>
  </si>
  <si>
    <t>Jr</t>
  </si>
  <si>
    <t>Proyectos</t>
  </si>
  <si>
    <t>Ingeniero de Datos BI</t>
  </si>
  <si>
    <t>Testers</t>
  </si>
  <si>
    <t>Desarrolladores / Desarrolladores BI</t>
  </si>
  <si>
    <t>x cada</t>
  </si>
  <si>
    <t>Analista</t>
  </si>
  <si>
    <t>incidentes</t>
  </si>
  <si>
    <t>Director</t>
  </si>
  <si>
    <t>Gerente de Operación</t>
  </si>
  <si>
    <t>Gerente de Entrega Documental</t>
  </si>
  <si>
    <t>Analista de Entrega Documental</t>
  </si>
  <si>
    <t>Líder Técnico de Atención de incidentes</t>
  </si>
  <si>
    <t>CONTINUIDAD OPERATIVA</t>
  </si>
  <si>
    <t>ALTA DIRECCIÓN</t>
  </si>
  <si>
    <t>PLANEACIÓN DEL ARRANQUE</t>
  </si>
  <si>
    <t>CREACIÓN Y MANTENIMIENTO DE APLICACIONES</t>
  </si>
  <si>
    <t>Líder Técnico atn incidentes</t>
  </si>
  <si>
    <t>Desarrollador atn incidentes</t>
  </si>
  <si>
    <t>Desarrollador BI atn incidentes</t>
  </si>
  <si>
    <t>25% BI / 75% transaccional</t>
  </si>
  <si>
    <t>grupo</t>
  </si>
  <si>
    <t>Alta dirección</t>
  </si>
  <si>
    <t>Min</t>
  </si>
  <si>
    <t>Max</t>
  </si>
  <si>
    <t>Estructurar el requerimiento</t>
  </si>
  <si>
    <t>Implementar tablero puntaje</t>
  </si>
  <si>
    <t>Diseñar tablero puntaje</t>
  </si>
  <si>
    <t>Diseñar tablero avance</t>
  </si>
  <si>
    <t>Implementar tablero avance</t>
  </si>
  <si>
    <t>Definir nomenclatura</t>
  </si>
  <si>
    <t>Posible retroalimentación</t>
  </si>
  <si>
    <t xml:space="preserve">Generar inventario de necesidades de certificación </t>
  </si>
  <si>
    <t xml:space="preserve">Generar inventario de necesidades de entrenamiento </t>
  </si>
  <si>
    <t>Identificación de candidatos</t>
  </si>
  <si>
    <t>Diseño de CV</t>
  </si>
  <si>
    <t>Seguimiento</t>
  </si>
  <si>
    <t>Armado de expedientes</t>
  </si>
  <si>
    <t>Líneas de accción</t>
  </si>
  <si>
    <t>Supervisar que se cumplan los requerimientos funcionales establecidos para el producto y que el mismo esté libre de fallas, por medio de la planeación y ejecución de las pruebas a través de una matriz que permita de manera particular probar el software construido (RDP).
Habilidades en: Habilidades técnicas en metodologías de pruebas, Pensamiento Lógico, Habilidades de comunicación, Atención al detalle, Adaptabilidad y flexibilidad</t>
  </si>
  <si>
    <t>Conocimientos comprobables (Cursos)</t>
  </si>
  <si>
    <t>Certificaciones</t>
  </si>
  <si>
    <t xml:space="preserve"> SAFE for Gov</t>
  </si>
  <si>
    <t>SCRUM Master</t>
  </si>
  <si>
    <t>Leading SAFE</t>
  </si>
  <si>
    <t>SCRUM Master /PMI ACP</t>
  </si>
  <si>
    <t>Gestión de riesgos</t>
  </si>
  <si>
    <t>Metodologías de Pruebas
(caja blanca, negra, gris, automatizadas)</t>
  </si>
  <si>
    <t>Técnicas de Pruebas
(unitarias, integración, regresión)</t>
  </si>
  <si>
    <t>Curso Auditoría de TI.</t>
  </si>
  <si>
    <t>ITIL v4.0</t>
  </si>
  <si>
    <t>ANEXO 2</t>
  </si>
  <si>
    <t>Administrador de proyectos*</t>
  </si>
  <si>
    <t>Líder Técnico*</t>
  </si>
  <si>
    <t>Desarrollador Senior / Desarrollador Senior BI</t>
  </si>
  <si>
    <t>Desarrollador Junior / Desarrollador Junior BI</t>
  </si>
  <si>
    <t>Experiencia años
(al menos)</t>
  </si>
  <si>
    <t>- Al menos 5 años de experiencia en desarrollo de software y liderazgo técnico, así como atención y resolución de problemas.
- Dominio en las tecnologías de la Arquitectura de Referencia (AR)  y/o tecnologías open source. 
- Adicional:3 años de experiencia en desarrollo en metodologías ágiles</t>
  </si>
  <si>
    <t xml:space="preserve">Lenguajes de Programación: </t>
  </si>
  <si>
    <t>Java (open jdk)</t>
  </si>
  <si>
    <t>Ansi</t>
  </si>
  <si>
    <t>C#</t>
  </si>
  <si>
    <t>C/</t>
  </si>
  <si>
    <t>C++</t>
  </si>
  <si>
    <t>DataStage</t>
  </si>
  <si>
    <t>Basic</t>
  </si>
  <si>
    <t>4GL</t>
  </si>
  <si>
    <t>SPL</t>
  </si>
  <si>
    <t>Transact SQL</t>
  </si>
  <si>
    <t>Python</t>
  </si>
  <si>
    <t>Scala</t>
  </si>
  <si>
    <t>R</t>
  </si>
  <si>
    <t>Rust</t>
  </si>
  <si>
    <t xml:space="preserve">Cómputo en la nube: </t>
  </si>
  <si>
    <t>AWS</t>
  </si>
  <si>
    <t>Azure</t>
  </si>
  <si>
    <t>Data Factory</t>
  </si>
  <si>
    <t>Databricks</t>
  </si>
  <si>
    <t>Dockers/Kubernetes</t>
  </si>
  <si>
    <t>ARO (Azure Redhat OpenShift)</t>
  </si>
  <si>
    <t>Data Pipelines</t>
  </si>
  <si>
    <t xml:space="preserve">Bases de Datos: </t>
  </si>
  <si>
    <t>PostgreSQL</t>
  </si>
  <si>
    <t>Oracle</t>
  </si>
  <si>
    <t>MariaDB</t>
  </si>
  <si>
    <t>IBM</t>
  </si>
  <si>
    <t>Informix</t>
  </si>
  <si>
    <t>SQL Server</t>
  </si>
  <si>
    <t>QVD</t>
  </si>
  <si>
    <t>Azure SQL</t>
  </si>
  <si>
    <t>Cassandra</t>
  </si>
  <si>
    <t>DataLake</t>
  </si>
  <si>
    <t>DB2</t>
  </si>
  <si>
    <t xml:space="preserve">Sistemas Operativos: </t>
  </si>
  <si>
    <t>Linux</t>
  </si>
  <si>
    <t>Unix</t>
  </si>
  <si>
    <t>Windows Server</t>
  </si>
  <si>
    <t>z/OS</t>
  </si>
  <si>
    <t>Spice</t>
  </si>
  <si>
    <t xml:space="preserve">Servicios integrales de autenticación: </t>
  </si>
  <si>
    <t>E-firma</t>
  </si>
  <si>
    <t>OAuth 2.0</t>
  </si>
  <si>
    <t>OWIN</t>
  </si>
  <si>
    <t>SAML2</t>
  </si>
  <si>
    <t>Omniguard</t>
  </si>
  <si>
    <t>Tecnologías AT 
(Anexo Técnico)</t>
  </si>
  <si>
    <t xml:space="preserve">- Al menos 5 años de experiencia en desarrollo de software y liderazgo técnico, así como atención y resolución de problemas. 
- Dominio en las tecnologías de la Arquitectura de Referencia (AR)  y/o tecnologías open source.  
Adicional: 
- 3 años de experiencia en desarrollo en metodologías ágiles  </t>
  </si>
  <si>
    <t>Dirigir y coordinar a equipos de trabajo implementando y optimizando tecnologías para alcanzar objetivos estratégicos de desarrollo, asegurando la calidad del software, la correcta implementación de las soluciones y el uso adecuado de herramientas y buenas prácticas. 
Actuar como puente entre el equipo técnico y otras áreas del proyecto o de la institución.
Garantizar la integración de los componentes técnicos y alinearlos a la arquitectura y seguridad del SAT.
Habilidades en:  
- Gestión de Proyectos
- Liderazgo</t>
  </si>
  <si>
    <t>Al menos 5 años de experiencia en desarrollo de software y liderazgo técnico, así como atención y resolución de problemas.
Dominio en las tecnologías de la Arquitectura de Referencia (AR)  y/o tecnologías open source.
Adicional:
Al menos 3 años de experiencia en desarrollo en metodologías ágiles</t>
  </si>
  <si>
    <t>Dirigir y coordinar a equipos de trabajo para restaurar un servicio ante fallas que se presenten en la operación de los aplicativos. 
Evaluar la situación, tomar decisiones críticas y asegurar la comunicación efectiva para resolver el incidente. 
Habilidades en: 
- Toma de decisiones
- Liderazgo</t>
  </si>
  <si>
    <t>Dirigir y coordinar a equipos de trabajo para restaurar un servicio ante fallas que se presenten en la operación de los aplicativos.
Evaluar la situación, tomar decisiones críticas y asegurar la comunicación efectiva para resolver el incidente.  
Habilidades en: 
- Toma de decisiones
- Liderazgo</t>
  </si>
  <si>
    <t>Dirigir y coordinar a equipos de trabajo implementando y optimizando tecnologías para alcanzar objetivos estratégicos de desarrollo, asegurando la calidad del software, la correcta implementación de las soluciones y el uso adecuado de herramientas y buenas prácticas. 
Actuar como puente entre el equipo técnico y otras áreas del proyecto o de la institución.
Garantizar la integración de los componentes técnicos y alinearlos a la arquitectura y seguridad del SAT.
Habilidades en:  
- Gestión de Proyectos 
- Liderazgo</t>
  </si>
  <si>
    <t>Al menos 5 años de experiencia en desarrollo de software y liderazgo técnico, así como atención y resolución de problemas.
Dominio en las tecnologías de la Arquitectura de Referencia (AR) y/o tecnologías open source.
Adicional:
- Al menos 3 años de experiencia en desarrollo en metodologías ágiles</t>
  </si>
  <si>
    <t>Diseñar, construir, optimizar y mantener infraestructuras y soluciones tecnológicas que recolecten, almacenen, procesen y accedan a grandes volúmenes de datos de manera eficiente, segura y escalable.
Habilidades en:
- Diseño e implementación de procesos ETL/ELT que procesen grandes volúmenes de información.
- Definición, construcción y mantenimiento de estructuras de almacenamiento de grandes volúmenes de datos que aseguren la eficiencia de las soluciones de Inteligencia de Negocio.
- Optimización de la carga, procesamiento y consulta de grandes volúmenes de datos.</t>
  </si>
  <si>
    <t>- Computación e Informática
- Administración
- Informática Administrativa
- Matemáticas-Actuaría
- Física
- Contaduría
- Sistemas y Calidad</t>
  </si>
  <si>
    <t>- Sistemas Computacionales e Informática
- Ingeniería en Ciencias de la Computación
- Ingeniería en Datos o Ciencia de Datos
- Ingeniería de Software
- Matemáticas, Estadística o Física (con formación adicional en TI)</t>
  </si>
  <si>
    <t>Cómputo en nube</t>
  </si>
  <si>
    <t>AWS Certified Big Data</t>
  </si>
  <si>
    <t>Docker/Kubernetes)</t>
  </si>
  <si>
    <t xml:space="preserve">Big Data </t>
  </si>
  <si>
    <t>Cloudera Certified Associate (CCA)</t>
  </si>
  <si>
    <t>Data Analyst</t>
  </si>
  <si>
    <t>Hadoop</t>
  </si>
  <si>
    <t>Spark</t>
  </si>
  <si>
    <t>Bases de datos Relacionales</t>
  </si>
  <si>
    <t>MySQL</t>
  </si>
  <si>
    <t xml:space="preserve">Bases de datos NoSQL </t>
  </si>
  <si>
    <t>MongoDB</t>
  </si>
  <si>
    <t>Redis</t>
  </si>
  <si>
    <t>HBase</t>
  </si>
  <si>
    <t>Lenguajes de programación</t>
  </si>
  <si>
    <t>SQL</t>
  </si>
  <si>
    <t>Java</t>
  </si>
  <si>
    <t xml:space="preserve">Herramientas de procesamiento de datos </t>
  </si>
  <si>
    <t>Kafka</t>
  </si>
  <si>
    <t>Herramientas de Big Data</t>
  </si>
  <si>
    <t>Apache</t>
  </si>
  <si>
    <t>Dask</t>
  </si>
  <si>
    <t>Flink</t>
  </si>
  <si>
    <t>Diseño y desarrollo de procesos ETL/ELT</t>
  </si>
  <si>
    <t>Extract, Transform, Load</t>
  </si>
  <si>
    <t>Modelos y Arquitecturas de Datos</t>
  </si>
  <si>
    <t>DataLakes</t>
  </si>
  <si>
    <t>Aquitecturas distribuidas</t>
  </si>
  <si>
    <t>Visualización de Datos</t>
  </si>
  <si>
    <t>Fabric</t>
  </si>
  <si>
    <t>Tableau</t>
  </si>
  <si>
    <t>Grafana</t>
  </si>
  <si>
    <t xml:space="preserve">Automatización de Procesos y DevOps </t>
  </si>
  <si>
    <t>(CI/CD).</t>
  </si>
  <si>
    <r>
      <t xml:space="preserve">Conocimiento comprobable en las tecnologías descritas en la introducción de este documento. 
Adicional es </t>
    </r>
    <r>
      <rPr>
        <b/>
        <i/>
        <sz val="11"/>
        <color theme="3" tint="0.249977111117893"/>
        <rFont val="Aptos Narrow"/>
        <family val="2"/>
        <scheme val="minor"/>
      </rPr>
      <t xml:space="preserve">deseable </t>
    </r>
    <r>
      <rPr>
        <i/>
        <sz val="11"/>
        <color theme="3" tint="0.249977111117893"/>
        <rFont val="Aptos Narrow"/>
        <family val="2"/>
        <scheme val="minor"/>
      </rPr>
      <t>alguna de las siguientes certificaciones vigente:</t>
    </r>
  </si>
  <si>
    <t>Al menos 5 años de experiencia comprobada en gestión de proyectos grandes o críticos.
Al menos 3 años de experiencia comprobada en proyectos de desarrollo Ágil</t>
  </si>
  <si>
    <t>TOGAF 9 Foundation</t>
  </si>
  <si>
    <t xml:space="preserve">Arquitecto experto </t>
  </si>
  <si>
    <t>Técnologias</t>
  </si>
  <si>
    <t>1 x cada 5 proy</t>
  </si>
  <si>
    <t>4 x cada Proy</t>
  </si>
  <si>
    <t>1 x cada 10 incidentes</t>
  </si>
  <si>
    <t>1 x cada tecnología</t>
  </si>
  <si>
    <t>2 x cada Gpo</t>
  </si>
  <si>
    <t>1 x cada Grupo</t>
  </si>
  <si>
    <r>
      <t xml:space="preserve">Conocimiento </t>
    </r>
    <r>
      <rPr>
        <b/>
        <i/>
        <sz val="11"/>
        <color theme="3" tint="0.249977111117893"/>
        <rFont val="Aptos Narrow"/>
        <family val="2"/>
        <scheme val="minor"/>
      </rPr>
      <t>comprobable</t>
    </r>
    <r>
      <rPr>
        <i/>
        <sz val="11"/>
        <color theme="3" tint="0.249977111117893"/>
        <rFont val="Aptos Narrow"/>
        <family val="2"/>
        <scheme val="minor"/>
      </rPr>
      <t xml:space="preserve"> en al menos </t>
    </r>
    <r>
      <rPr>
        <b/>
        <i/>
        <sz val="11"/>
        <color rgb="FFFF0000"/>
        <rFont val="Aptos Narrow"/>
        <family val="2"/>
        <scheme val="minor"/>
      </rPr>
      <t xml:space="preserve">tres </t>
    </r>
    <r>
      <rPr>
        <i/>
        <sz val="11"/>
        <color theme="3" tint="0.249977111117893"/>
        <rFont val="Aptos Narrow"/>
        <family val="2"/>
        <scheme val="minor"/>
      </rPr>
      <t xml:space="preserve">de los siguientes temas: </t>
    </r>
  </si>
  <si>
    <r>
      <t xml:space="preserve">Conocimiento </t>
    </r>
    <r>
      <rPr>
        <b/>
        <i/>
        <sz val="11"/>
        <color theme="3" tint="0.249977111117893"/>
        <rFont val="Aptos Narrow"/>
        <family val="2"/>
        <scheme val="minor"/>
      </rPr>
      <t>comprobable</t>
    </r>
    <r>
      <rPr>
        <i/>
        <sz val="11"/>
        <color theme="3" tint="0.249977111117893"/>
        <rFont val="Aptos Narrow"/>
        <family val="2"/>
        <scheme val="minor"/>
      </rPr>
      <t xml:space="preserve"> en al menos </t>
    </r>
    <r>
      <rPr>
        <b/>
        <i/>
        <sz val="11"/>
        <color rgb="FFFF0000"/>
        <rFont val="Aptos Narrow"/>
        <family val="2"/>
        <scheme val="minor"/>
      </rPr>
      <t xml:space="preserve">dos </t>
    </r>
    <r>
      <rPr>
        <i/>
        <sz val="11"/>
        <color theme="3" tint="0.249977111117893"/>
        <rFont val="Aptos Narrow"/>
        <family val="2"/>
        <scheme val="minor"/>
      </rPr>
      <t xml:space="preserve">de los siguientes temas: </t>
    </r>
  </si>
  <si>
    <r>
      <t xml:space="preserve">Conocimiento </t>
    </r>
    <r>
      <rPr>
        <b/>
        <i/>
        <sz val="11"/>
        <color theme="3" tint="0.249977111117893"/>
        <rFont val="Aptos Narrow"/>
        <family val="2"/>
        <scheme val="minor"/>
      </rPr>
      <t>comprobable</t>
    </r>
    <r>
      <rPr>
        <i/>
        <sz val="11"/>
        <color theme="3" tint="0.249977111117893"/>
        <rFont val="Aptos Narrow"/>
        <family val="2"/>
        <scheme val="minor"/>
      </rPr>
      <t xml:space="preserve"> en al menos dos de los siguientes temas: (Phyton, Scala, Rust) / (Fabric, Databricks) /
</t>
    </r>
    <r>
      <rPr>
        <b/>
        <i/>
        <sz val="11"/>
        <color theme="3" tint="0.249977111117893"/>
        <rFont val="Aptos Narrow"/>
        <family val="2"/>
        <scheme val="minor"/>
      </rPr>
      <t>Deseable</t>
    </r>
    <r>
      <rPr>
        <i/>
        <sz val="11"/>
        <color theme="3" tint="0.249977111117893"/>
        <rFont val="Aptos Narrow"/>
        <family val="2"/>
        <scheme val="minor"/>
      </rPr>
      <t xml:space="preserve"> alguna de las siguientes certificaciones vigente: Scrum Master / (Fabric, Databricks)</t>
    </r>
  </si>
  <si>
    <r>
      <t xml:space="preserve">Conocimiento </t>
    </r>
    <r>
      <rPr>
        <b/>
        <i/>
        <sz val="11"/>
        <color theme="3" tint="0.249977111117893"/>
        <rFont val="Aptos Narrow"/>
        <family val="2"/>
        <scheme val="minor"/>
      </rPr>
      <t>comprobable</t>
    </r>
    <r>
      <rPr>
        <i/>
        <sz val="11"/>
        <color theme="3" tint="0.249977111117893"/>
        <rFont val="Aptos Narrow"/>
        <family val="2"/>
        <scheme val="minor"/>
      </rPr>
      <t xml:space="preserve"> en al menos uno de los siguientes temas:  AR., Estructuras de datos, Herramientas de desarrollo, Procesamiento de datos (Hadoop, Spark, Kafka), (Phyton, SQL, Scala, Rust, Java, R), (Fabric, Databricks)</t>
    </r>
  </si>
  <si>
    <r>
      <rPr>
        <b/>
        <i/>
        <sz val="11"/>
        <color theme="3" tint="0.249977111117893"/>
        <rFont val="Aptos Narrow"/>
        <family val="2"/>
        <scheme val="minor"/>
      </rPr>
      <t xml:space="preserve">Deseable </t>
    </r>
    <r>
      <rPr>
        <i/>
        <sz val="11"/>
        <color theme="3" tint="0.249977111117893"/>
        <rFont val="Aptos Narrow"/>
        <family val="2"/>
        <scheme val="minor"/>
      </rPr>
      <t>alguna de las siguientes certificaciones vigente: Scrum Master / (Fabric, Databricks)</t>
    </r>
  </si>
  <si>
    <t>•	Servicios integrales de autenticaciónE-firma, OAuth 2.0, OWIN, SAML2, Omniguard</t>
  </si>
  <si>
    <t>Arq Genérica</t>
  </si>
  <si>
    <t>Lenguaje Genérico</t>
  </si>
  <si>
    <t>BD Genérica</t>
  </si>
  <si>
    <t>SO Front</t>
  </si>
  <si>
    <t>SO Middleware</t>
  </si>
  <si>
    <t>SO BD</t>
  </si>
  <si>
    <t>Aplicación se encuentra en la nube?</t>
  </si>
  <si>
    <t>Tipo de Autenticación</t>
  </si>
  <si>
    <t>Servicios Integrales</t>
  </si>
  <si>
    <t>Open Source</t>
  </si>
  <si>
    <t>-</t>
  </si>
  <si>
    <t>NO</t>
  </si>
  <si>
    <t>e.Firma</t>
  </si>
  <si>
    <t>Por definir</t>
  </si>
  <si>
    <t>Contraseña / e.Firma</t>
  </si>
  <si>
    <t>SI</t>
  </si>
  <si>
    <t>E.FIRMA</t>
  </si>
  <si>
    <t>Si</t>
  </si>
  <si>
    <t>Oauth 2.0</t>
  </si>
  <si>
    <t>OAUT 2.0</t>
  </si>
  <si>
    <r>
      <t>·</t>
    </r>
    <r>
      <rPr>
        <sz val="7"/>
        <color theme="1"/>
        <rFont val="Times New Roman"/>
        <family val="1"/>
      </rPr>
      <t xml:space="preserve">       </t>
    </r>
    <r>
      <rPr>
        <b/>
        <sz val="10"/>
        <color theme="1"/>
        <rFont val="Noto Sans"/>
        <family val="2"/>
      </rPr>
      <t>Cómputo en la nube:</t>
    </r>
    <r>
      <rPr>
        <sz val="10"/>
        <color theme="1"/>
        <rFont val="Noto Sans"/>
        <family val="2"/>
      </rPr>
      <t xml:space="preserve"> AWS, Azure, Data Factory, Databricks, Dockers/Kubernetes, ARO (Azure Redhat OpenShift), Data Pipelines.</t>
    </r>
  </si>
  <si>
    <t xml:space="preserve">Nube </t>
  </si>
  <si>
    <t>Objective C</t>
  </si>
  <si>
    <t>SQLite</t>
  </si>
  <si>
    <t>iOS/Android</t>
  </si>
  <si>
    <t>iOS</t>
  </si>
  <si>
    <t>No Aplica</t>
  </si>
  <si>
    <t>Nube</t>
  </si>
  <si>
    <t>,NET</t>
  </si>
  <si>
    <t>Nube Aplicaciones</t>
  </si>
  <si>
    <t>.NET</t>
  </si>
  <si>
    <t>Oauth</t>
  </si>
  <si>
    <t>Windows</t>
  </si>
  <si>
    <t xml:space="preserve">e-Firma y Contraseña </t>
  </si>
  <si>
    <t>RA1</t>
  </si>
  <si>
    <t>D1</t>
  </si>
  <si>
    <t>R1</t>
  </si>
  <si>
    <t>1. Computación e Informática</t>
  </si>
  <si>
    <t>Ingeniería en Computación</t>
  </si>
  <si>
    <t>Ingeniería Informática</t>
  </si>
  <si>
    <t>Ingeniería en Sistemas Computacionales</t>
  </si>
  <si>
    <t>Desarrollo de Software</t>
  </si>
  <si>
    <t>Ingeniería de Software</t>
  </si>
  <si>
    <t>Tecnologías de la Información</t>
  </si>
  <si>
    <t>Ciberseguridad</t>
  </si>
  <si>
    <t>Ciencia de Datos</t>
  </si>
  <si>
    <t>Inteligencia Artificial</t>
  </si>
  <si>
    <t>Redes y Telecomunicaciones</t>
  </si>
  <si>
    <t>2. Administración</t>
  </si>
  <si>
    <t>Administración de Empresas</t>
  </si>
  <si>
    <t>Administración Pública</t>
  </si>
  <si>
    <t>Administración Industrial</t>
  </si>
  <si>
    <t>Administración de Recursos Humanos</t>
  </si>
  <si>
    <t>Administración Financiera</t>
  </si>
  <si>
    <t>Administración de Negocios Internacionales</t>
  </si>
  <si>
    <t>Gestión Empresarial</t>
  </si>
  <si>
    <t>Dirección de Empresas</t>
  </si>
  <si>
    <t>Mercadotecnia</t>
  </si>
  <si>
    <t>Contaduría y Finanzas</t>
  </si>
  <si>
    <t>Comercio y Negocios Internacionales</t>
  </si>
  <si>
    <t>3. Informática Administrativa</t>
  </si>
  <si>
    <t>Administración de Tecnologías de la Información</t>
  </si>
  <si>
    <t>Sistemas de Información Administrativa</t>
  </si>
  <si>
    <t>Ingeniería en Gestión Empresarial</t>
  </si>
  <si>
    <t>Tecnologías de Información para los Negocios</t>
  </si>
  <si>
    <t>Administración y Sistemas</t>
  </si>
  <si>
    <t>Analítica de Negocios (Business Analytics)</t>
  </si>
  <si>
    <t>Ingeniería en Sistemas Productivos</t>
  </si>
  <si>
    <t>Gestión de Proyectos Tecnológicos</t>
  </si>
  <si>
    <t>4. Matemáticas – Actuaría</t>
  </si>
  <si>
    <t>Matemáticas Aplicadas</t>
  </si>
  <si>
    <t>Actuaría</t>
  </si>
  <si>
    <t>Estadística</t>
  </si>
  <si>
    <t>Economía Aplicada</t>
  </si>
  <si>
    <t>Investigación de Operaciones</t>
  </si>
  <si>
    <t>Ingeniería Financiera</t>
  </si>
  <si>
    <t>Modelado Matemático</t>
  </si>
  <si>
    <t>Física Matemática</t>
  </si>
  <si>
    <t>5. Física</t>
  </si>
  <si>
    <t>Ingeniería Física</t>
  </si>
  <si>
    <t>Física Aplicada</t>
  </si>
  <si>
    <t>Física Médica</t>
  </si>
  <si>
    <t>Ingeniería en Energías</t>
  </si>
  <si>
    <t>Nanotecnología</t>
  </si>
  <si>
    <t>Ciencias de Materiales</t>
  </si>
  <si>
    <t>Ingeniería Electrónica</t>
  </si>
  <si>
    <t>Astronomía</t>
  </si>
  <si>
    <t>Ingeniería Mecatrónica</t>
  </si>
  <si>
    <t>6. Contaduría</t>
  </si>
  <si>
    <t>Contaduría Pública</t>
  </si>
  <si>
    <t>Contaduría Privada</t>
  </si>
  <si>
    <t>Auditoría</t>
  </si>
  <si>
    <t>Finanzas</t>
  </si>
  <si>
    <t>Fiscal y Tributación</t>
  </si>
  <si>
    <t>Banca y Capitales</t>
  </si>
  <si>
    <t>Control de Gestión</t>
  </si>
  <si>
    <t>Contabilidad Gubernamental</t>
  </si>
  <si>
    <t>7. Sistemas y Calidad</t>
  </si>
  <si>
    <t>Ingeniería en Sistemas</t>
  </si>
  <si>
    <t>Ingeniería en Gestión de Calidad</t>
  </si>
  <si>
    <t>Ingeniería Industrial</t>
  </si>
  <si>
    <t>Ingeniería en Procesos</t>
  </si>
  <si>
    <t>Administración de la Calidad</t>
  </si>
  <si>
    <t>Ingeniería en Productividad</t>
  </si>
  <si>
    <t>Gestión de Proyectos</t>
  </si>
  <si>
    <t>Ingeniería de Procesos y Operaciones</t>
  </si>
  <si>
    <t>Lean Manufacturing</t>
  </si>
  <si>
    <t>Sistemas de Gestión (ISO, Calidad Total, Mejora Continua)</t>
  </si>
  <si>
    <t>Estudios nivel superior acreditable en las áreas de:</t>
  </si>
  <si>
    <t>RA1 - Requerido Alguno
R1 - Requerido
D1- Deseable</t>
  </si>
  <si>
    <t>Validar que cada componente interactúe de forma sistémica en todas las iteraciones de un proyecto, para lograr congruencia al flujo de negocio y de información (proceso funcional). Identifica dependencias, duplicidades. Proponer soluciones a las necesidades de manera integrada.
Habilidades en; Conocimiento de las plataformas de la Arquitectura de Referencia (AR), Resolución de problemas técnicos, Evaluación y optimización del rendimiento del sistema eligiendo las tecnologías más adecuadas</t>
  </si>
  <si>
    <t>Creación+D22</t>
  </si>
  <si>
    <r>
      <t xml:space="preserve">Al menos 3 años de experiencia centro de desarrollo de software.
Dominio de Tecnologías del AR y/o tecnologías open source
</t>
    </r>
    <r>
      <rPr>
        <sz val="8"/>
        <color rgb="FFFF0000"/>
        <rFont val="Arial"/>
        <family val="2"/>
      </rPr>
      <t>Adicional: 1 recurso con experiencia en mantenimiento de aplicaciones en Sterling (soluciones de IBM)</t>
    </r>
  </si>
  <si>
    <r>
      <t xml:space="preserve">Al menos 5 años de experiencia centro de desarrollo de software. 
Dominio de Tecnologías de la Arquitectura de Referencia (AR) y/o tecnologías open source
</t>
    </r>
    <r>
      <rPr>
        <sz val="8"/>
        <color rgb="FFFF0000"/>
        <rFont val="Arial"/>
        <family val="2"/>
      </rPr>
      <t>Adicional: Al menos 1 recurso con experiencia en mantenimiento de aplicaciones en Sterling (soluciones de IBM)</t>
    </r>
    <r>
      <rPr>
        <sz val="8"/>
        <color theme="1"/>
        <rFont val="Arial"/>
        <family val="2"/>
      </rPr>
      <t xml:space="preserve">
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</si>
</sst>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1"/>
      <color theme="1"/>
      <name val="Aptos Narrow"/>
      <family val="2"/>
      <scheme val="minor"/>
    </font>
    <font>
      <sz val="8"/>
      <color theme="1"/>
      <name val="Arial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1"/>
      <color theme="1"/>
      <name val="Aptos Narrow"/>
      <family val="2"/>
      <scheme val="minor"/>
    </font>
    <font>
      <i/>
      <u/>
      <sz val="11"/>
      <color theme="1"/>
      <name val="Aptos Narrow"/>
      <family val="2"/>
      <scheme val="minor"/>
    </font>
    <font>
      <sz val="8"/>
      <name val="Arial"/>
      <family val="2"/>
    </font>
    <font>
      <sz val="11"/>
      <color rgb="FFC00000"/>
      <name val="Aptos Narrow"/>
      <family val="2"/>
      <scheme val="minor"/>
    </font>
    <font>
      <sz val="9"/>
      <color theme="1"/>
      <name val="Aptos Narrow"/>
      <family val="2"/>
      <scheme val="minor"/>
    </font>
    <font>
      <sz val="11"/>
      <name val="Aptos Narrow"/>
      <family val="2"/>
      <scheme val="minor"/>
    </font>
    <font>
      <b/>
      <sz val="8"/>
      <color theme="1"/>
      <name val="Arial"/>
      <family val="2"/>
    </font>
    <font>
      <b/>
      <sz val="8"/>
      <name val="Arial"/>
      <family val="2"/>
    </font>
    <font>
      <i/>
      <sz val="11"/>
      <color theme="3" tint="0.249977111117893"/>
      <name val="Aptos Narrow"/>
      <family val="2"/>
      <scheme val="minor"/>
    </font>
    <font>
      <b/>
      <i/>
      <sz val="11"/>
      <color theme="3" tint="0.249977111117893"/>
      <name val="Aptos Narrow"/>
      <family val="2"/>
      <scheme val="minor"/>
    </font>
    <font>
      <b/>
      <i/>
      <sz val="11"/>
      <color rgb="FFFF0000"/>
      <name val="Aptos Narrow"/>
      <family val="2"/>
      <scheme val="minor"/>
    </font>
    <font>
      <b/>
      <sz val="11"/>
      <color rgb="FFC00000"/>
      <name val="Aptos Narrow"/>
      <family val="2"/>
      <scheme val="minor"/>
    </font>
    <font>
      <sz val="7"/>
      <color theme="1"/>
      <name val="Times New Roman"/>
      <family val="1"/>
    </font>
    <font>
      <b/>
      <sz val="10"/>
      <color theme="1"/>
      <name val="Noto Sans"/>
      <family val="2"/>
    </font>
    <font>
      <sz val="10"/>
      <color theme="1"/>
      <name val="Noto Sans"/>
      <family val="2"/>
    </font>
    <font>
      <b/>
      <sz val="18"/>
      <color theme="1"/>
      <name val="Arial"/>
      <family val="2"/>
    </font>
    <font>
      <sz val="11"/>
      <color theme="1"/>
      <name val="Arial"/>
      <family val="2"/>
    </font>
    <font>
      <sz val="7"/>
      <color theme="1"/>
      <name val="Arial"/>
      <family val="2"/>
    </font>
    <font>
      <sz val="8"/>
      <color rgb="FFFF0000"/>
      <name val="Arial"/>
      <family val="2"/>
    </font>
  </fonts>
  <fills count="14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 tint="-0.24994659260841701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00B050"/>
        <bgColor indexed="64"/>
      </patternFill>
    </fill>
  </fills>
  <borders count="8">
    <border>
      <left/>
      <right/>
      <top/>
      <bottom/>
      <diagonal/>
    </border>
    <border>
      <left/>
      <right/>
      <top/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</borders>
  <cellStyleXfs count="1">
    <xf numFmtId="0" fontId="0" fillId="0" borderId="0"/>
  </cellStyleXfs>
  <cellXfs count="70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2" fontId="0" fillId="0" borderId="0" xfId="0" applyNumberFormat="1"/>
    <xf numFmtId="0" fontId="4" fillId="6" borderId="0" xfId="0" applyFont="1" applyFill="1" applyAlignment="1">
      <alignment horizontal="center"/>
    </xf>
    <xf numFmtId="0" fontId="4" fillId="0" borderId="0" xfId="0" applyFont="1"/>
    <xf numFmtId="0" fontId="0" fillId="0" borderId="1" xfId="0" applyBorder="1"/>
    <xf numFmtId="0" fontId="0" fillId="0" borderId="2" xfId="0" applyBorder="1"/>
    <xf numFmtId="0" fontId="4" fillId="0" borderId="1" xfId="0" applyFont="1" applyBorder="1"/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4" fillId="6" borderId="1" xfId="0" applyFont="1" applyFill="1" applyBorder="1" applyAlignment="1">
      <alignment horizontal="center"/>
    </xf>
    <xf numFmtId="0" fontId="4" fillId="0" borderId="0" xfId="0" applyFont="1" applyAlignment="1">
      <alignment horizontal="center"/>
    </xf>
    <xf numFmtId="0" fontId="5" fillId="0" borderId="0" xfId="0" applyFont="1"/>
    <xf numFmtId="0" fontId="4" fillId="6" borderId="0" xfId="0" applyFont="1" applyFill="1"/>
    <xf numFmtId="0" fontId="4" fillId="6" borderId="1" xfId="0" applyFont="1" applyFill="1" applyBorder="1"/>
    <xf numFmtId="0" fontId="0" fillId="3" borderId="0" xfId="0" applyFill="1" applyAlignment="1">
      <alignment vertical="center"/>
    </xf>
    <xf numFmtId="0" fontId="0" fillId="2" borderId="0" xfId="0" applyFill="1" applyAlignment="1">
      <alignment horizontal="left" vertical="center"/>
    </xf>
    <xf numFmtId="0" fontId="0" fillId="2" borderId="0" xfId="0" applyFill="1" applyAlignment="1">
      <alignment horizontal="center" vertical="center"/>
    </xf>
    <xf numFmtId="0" fontId="0" fillId="2" borderId="0" xfId="0" applyFill="1" applyAlignment="1">
      <alignment vertical="center"/>
    </xf>
    <xf numFmtId="0" fontId="6" fillId="5" borderId="4" xfId="0" applyFont="1" applyFill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justify" vertical="center" wrapText="1"/>
    </xf>
    <xf numFmtId="0" fontId="1" fillId="3" borderId="3" xfId="0" quotePrefix="1" applyFont="1" applyFill="1" applyBorder="1" applyAlignment="1">
      <alignment horizontal="center" vertical="center" wrapText="1"/>
    </xf>
    <xf numFmtId="0" fontId="1" fillId="3" borderId="3" xfId="0" applyFont="1" applyFill="1" applyBorder="1" applyAlignment="1">
      <alignment horizontal="center" vertical="center" wrapText="1"/>
    </xf>
    <xf numFmtId="0" fontId="0" fillId="0" borderId="3" xfId="0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 wrapText="1"/>
    </xf>
    <xf numFmtId="0" fontId="1" fillId="2" borderId="3" xfId="0" quotePrefix="1" applyFont="1" applyFill="1" applyBorder="1" applyAlignment="1">
      <alignment horizontal="center" vertical="center" wrapText="1"/>
    </xf>
    <xf numFmtId="16" fontId="7" fillId="0" borderId="0" xfId="0" applyNumberFormat="1" applyFont="1"/>
    <xf numFmtId="0" fontId="7" fillId="0" borderId="0" xfId="0" applyFont="1"/>
    <xf numFmtId="0" fontId="9" fillId="4" borderId="4" xfId="0" applyFont="1" applyFill="1" applyBorder="1" applyAlignment="1">
      <alignment horizontal="center" vertical="center"/>
    </xf>
    <xf numFmtId="0" fontId="9" fillId="4" borderId="4" xfId="0" applyFont="1" applyFill="1" applyBorder="1" applyAlignment="1">
      <alignment horizontal="center" vertical="center" textRotation="90"/>
    </xf>
    <xf numFmtId="0" fontId="6" fillId="5" borderId="4" xfId="0" quotePrefix="1" applyFont="1" applyFill="1" applyBorder="1" applyAlignment="1">
      <alignment horizontal="center" vertical="center" wrapText="1"/>
    </xf>
    <xf numFmtId="0" fontId="9" fillId="0" borderId="4" xfId="0" applyFont="1" applyBorder="1" applyAlignment="1">
      <alignment horizontal="center" vertical="center"/>
    </xf>
    <xf numFmtId="0" fontId="6" fillId="5" borderId="4" xfId="0" applyFont="1" applyFill="1" applyBorder="1" applyAlignment="1">
      <alignment horizontal="center" vertical="center" textRotation="90" wrapText="1"/>
    </xf>
    <xf numFmtId="0" fontId="9" fillId="4" borderId="4" xfId="0" applyFont="1" applyFill="1" applyBorder="1" applyAlignment="1">
      <alignment horizontal="center" vertical="center" wrapText="1"/>
    </xf>
    <xf numFmtId="0" fontId="1" fillId="0" borderId="3" xfId="0" quotePrefix="1" applyFont="1" applyBorder="1" applyAlignment="1">
      <alignment horizontal="justify" vertical="center" wrapText="1"/>
    </xf>
    <xf numFmtId="0" fontId="0" fillId="8" borderId="0" xfId="0" applyFill="1"/>
    <xf numFmtId="0" fontId="11" fillId="5" borderId="4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left" vertical="center" wrapText="1"/>
    </xf>
    <xf numFmtId="0" fontId="15" fillId="0" borderId="0" xfId="0" applyFont="1"/>
    <xf numFmtId="0" fontId="10" fillId="2" borderId="3" xfId="0" applyFont="1" applyFill="1" applyBorder="1" applyAlignment="1">
      <alignment horizontal="center" vertical="center" wrapText="1"/>
    </xf>
    <xf numFmtId="0" fontId="10" fillId="3" borderId="3" xfId="0" quotePrefix="1" applyFont="1" applyFill="1" applyBorder="1" applyAlignment="1">
      <alignment horizontal="center" vertical="center" wrapText="1"/>
    </xf>
    <xf numFmtId="0" fontId="10" fillId="3" borderId="3" xfId="0" applyFont="1" applyFill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0" fillId="0" borderId="0" xfId="0" applyAlignment="1">
      <alignment wrapText="1"/>
    </xf>
    <xf numFmtId="0" fontId="19" fillId="0" borderId="0" xfId="0" applyFont="1" applyAlignment="1">
      <alignment vertical="center"/>
    </xf>
    <xf numFmtId="0" fontId="20" fillId="0" borderId="0" xfId="0" applyFont="1" applyAlignment="1">
      <alignment horizontal="left" vertical="center" indent="1"/>
    </xf>
    <xf numFmtId="0" fontId="21" fillId="0" borderId="0" xfId="0" applyFont="1" applyAlignment="1">
      <alignment horizontal="left" vertical="center" indent="1"/>
    </xf>
    <xf numFmtId="0" fontId="20" fillId="0" borderId="0" xfId="0" applyFont="1" applyAlignment="1">
      <alignment vertical="center"/>
    </xf>
    <xf numFmtId="0" fontId="20" fillId="0" borderId="0" xfId="0" applyFont="1"/>
    <xf numFmtId="0" fontId="4" fillId="7" borderId="2" xfId="0" applyFont="1" applyFill="1" applyBorder="1" applyAlignment="1">
      <alignment horizontal="center"/>
    </xf>
    <xf numFmtId="0" fontId="4" fillId="7" borderId="0" xfId="0" applyFont="1" applyFill="1"/>
    <xf numFmtId="0" fontId="4" fillId="7" borderId="2" xfId="0" applyFont="1" applyFill="1" applyBorder="1"/>
    <xf numFmtId="0" fontId="4" fillId="7" borderId="1" xfId="0" applyFont="1" applyFill="1" applyBorder="1"/>
    <xf numFmtId="0" fontId="4" fillId="7" borderId="0" xfId="0" applyFont="1" applyFill="1" applyAlignment="1">
      <alignment horizontal="center"/>
    </xf>
    <xf numFmtId="0" fontId="4" fillId="7" borderId="1" xfId="0" applyFont="1" applyFill="1" applyBorder="1" applyAlignment="1">
      <alignment horizontal="center"/>
    </xf>
    <xf numFmtId="0" fontId="4" fillId="0" borderId="0" xfId="0" applyFont="1" applyAlignment="1">
      <alignment horizontal="center" vertical="center"/>
    </xf>
    <xf numFmtId="0" fontId="10" fillId="0" borderId="3" xfId="0" applyFont="1" applyBorder="1" applyAlignment="1">
      <alignment horizontal="center" vertical="center" wrapText="1"/>
    </xf>
    <xf numFmtId="0" fontId="4" fillId="9" borderId="0" xfId="0" applyFont="1" applyFill="1" applyAlignment="1">
      <alignment horizontal="center"/>
    </xf>
    <xf numFmtId="0" fontId="10" fillId="10" borderId="3" xfId="0" applyFont="1" applyFill="1" applyBorder="1" applyAlignment="1">
      <alignment horizontal="center" vertical="center" wrapText="1"/>
    </xf>
    <xf numFmtId="0" fontId="1" fillId="11" borderId="3" xfId="0" applyFont="1" applyFill="1" applyBorder="1" applyAlignment="1">
      <alignment horizontal="center" vertical="center" wrapText="1"/>
    </xf>
    <xf numFmtId="0" fontId="1" fillId="12" borderId="3" xfId="0" applyFont="1" applyFill="1" applyBorder="1" applyAlignment="1">
      <alignment horizontal="center" vertical="center" wrapText="1"/>
    </xf>
    <xf numFmtId="0" fontId="1" fillId="13" borderId="3" xfId="0" applyFont="1" applyFill="1" applyBorder="1" applyAlignment="1">
      <alignment horizontal="center" vertical="center" wrapText="1"/>
    </xf>
    <xf numFmtId="0" fontId="8" fillId="0" borderId="5" xfId="0" applyFont="1" applyBorder="1" applyAlignment="1">
      <alignment horizontal="left" vertical="center" wrapText="1"/>
    </xf>
    <xf numFmtId="0" fontId="1" fillId="13" borderId="6" xfId="0" applyFont="1" applyFill="1" applyBorder="1" applyAlignment="1">
      <alignment horizontal="center" vertical="center" wrapText="1"/>
    </xf>
    <xf numFmtId="0" fontId="1" fillId="13" borderId="7" xfId="0" applyFont="1" applyFill="1" applyBorder="1" applyAlignment="1">
      <alignment horizontal="center" vertical="center" wrapText="1"/>
    </xf>
    <xf numFmtId="0" fontId="12" fillId="0" borderId="0" xfId="0" applyFont="1" applyAlignment="1">
      <alignment horizontal="left" wrapText="1"/>
    </xf>
    <xf numFmtId="0" fontId="12" fillId="0" borderId="0" xfId="0" applyFont="1" applyAlignment="1">
      <alignment horizontal="left" vertical="center" wrapText="1"/>
    </xf>
    <xf numFmtId="0" fontId="12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2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8CFA9A-9813-4B31-BCAF-593F07D57300}">
  <dimension ref="B2:D21"/>
  <sheetViews>
    <sheetView showGridLines="0" workbookViewId="0"/>
  </sheetViews>
  <sheetFormatPr defaultRowHeight="14.5" x14ac:dyDescent="0.35"/>
  <cols>
    <col min="3" max="3" width="26.7265625" bestFit="1" customWidth="1"/>
  </cols>
  <sheetData>
    <row r="2" spans="2:4" x14ac:dyDescent="0.35">
      <c r="B2" s="5" t="s">
        <v>127</v>
      </c>
    </row>
    <row r="3" spans="2:4" x14ac:dyDescent="0.35">
      <c r="C3" t="s">
        <v>114</v>
      </c>
    </row>
    <row r="4" spans="2:4" x14ac:dyDescent="0.35">
      <c r="D4" t="s">
        <v>120</v>
      </c>
    </row>
    <row r="5" spans="2:4" x14ac:dyDescent="0.35">
      <c r="C5" t="s">
        <v>117</v>
      </c>
    </row>
    <row r="6" spans="2:4" x14ac:dyDescent="0.35">
      <c r="C6" t="s">
        <v>118</v>
      </c>
    </row>
    <row r="7" spans="2:4" x14ac:dyDescent="0.35">
      <c r="D7" t="s">
        <v>125</v>
      </c>
    </row>
    <row r="8" spans="2:4" x14ac:dyDescent="0.35">
      <c r="C8" t="s">
        <v>119</v>
      </c>
    </row>
    <row r="10" spans="2:4" x14ac:dyDescent="0.35">
      <c r="C10" t="s">
        <v>123</v>
      </c>
    </row>
    <row r="11" spans="2:4" x14ac:dyDescent="0.35">
      <c r="D11" t="s">
        <v>125</v>
      </c>
    </row>
    <row r="12" spans="2:4" x14ac:dyDescent="0.35">
      <c r="C12" t="s">
        <v>126</v>
      </c>
    </row>
    <row r="13" spans="2:4" x14ac:dyDescent="0.35">
      <c r="D13" t="s">
        <v>125</v>
      </c>
    </row>
    <row r="14" spans="2:4" x14ac:dyDescent="0.35">
      <c r="C14" t="s">
        <v>124</v>
      </c>
    </row>
    <row r="15" spans="2:4" x14ac:dyDescent="0.35">
      <c r="D15" t="s">
        <v>125</v>
      </c>
    </row>
    <row r="16" spans="2:4" x14ac:dyDescent="0.35">
      <c r="C16" t="s">
        <v>121</v>
      </c>
    </row>
    <row r="17" spans="3:4" x14ac:dyDescent="0.35">
      <c r="D17" t="s">
        <v>125</v>
      </c>
    </row>
    <row r="18" spans="3:4" x14ac:dyDescent="0.35">
      <c r="C18" t="s">
        <v>122</v>
      </c>
    </row>
    <row r="19" spans="3:4" x14ac:dyDescent="0.35">
      <c r="D19" t="s">
        <v>125</v>
      </c>
    </row>
    <row r="20" spans="3:4" x14ac:dyDescent="0.35">
      <c r="C20" t="s">
        <v>116</v>
      </c>
    </row>
    <row r="21" spans="3:4" x14ac:dyDescent="0.35">
      <c r="C21" t="s">
        <v>115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3A4499-294F-445E-B170-D8082D382EC1}">
  <dimension ref="B1:R32"/>
  <sheetViews>
    <sheetView showGridLines="0" zoomScale="115" zoomScaleNormal="115" workbookViewId="0">
      <selection activeCell="P30" sqref="P30"/>
    </sheetView>
  </sheetViews>
  <sheetFormatPr defaultRowHeight="14.5" x14ac:dyDescent="0.35"/>
  <cols>
    <col min="1" max="1" width="2" customWidth="1"/>
    <col min="3" max="3" width="32.7265625" customWidth="1"/>
    <col min="4" max="4" width="3.453125" customWidth="1"/>
    <col min="5" max="5" width="3.54296875" customWidth="1"/>
    <col min="6" max="6" width="5.7265625" bestFit="1" customWidth="1"/>
    <col min="7" max="7" width="3.54296875" customWidth="1"/>
    <col min="8" max="8" width="10.26953125" customWidth="1"/>
    <col min="9" max="9" width="9.26953125" bestFit="1" customWidth="1"/>
  </cols>
  <sheetData>
    <row r="1" spans="2:17" x14ac:dyDescent="0.35">
      <c r="K1" s="40" t="s">
        <v>140</v>
      </c>
    </row>
    <row r="2" spans="2:17" x14ac:dyDescent="0.35">
      <c r="B2" s="8" t="s">
        <v>103</v>
      </c>
      <c r="C2" s="6"/>
      <c r="D2" s="6"/>
      <c r="E2" s="6"/>
      <c r="F2" s="6"/>
      <c r="G2" s="6"/>
      <c r="H2" s="6"/>
      <c r="I2" s="15">
        <f>SUM(I3:I7)</f>
        <v>9</v>
      </c>
    </row>
    <row r="3" spans="2:17" x14ac:dyDescent="0.35">
      <c r="C3" s="6" t="s">
        <v>97</v>
      </c>
      <c r="D3" s="6"/>
      <c r="E3" s="6"/>
      <c r="F3" s="6"/>
      <c r="G3" s="6"/>
      <c r="H3" s="6"/>
      <c r="I3" s="54">
        <v>1</v>
      </c>
      <c r="K3" s="28" t="s">
        <v>0</v>
      </c>
    </row>
    <row r="4" spans="2:17" x14ac:dyDescent="0.35">
      <c r="C4" s="7" t="s">
        <v>98</v>
      </c>
      <c r="D4" s="7"/>
      <c r="E4" s="7"/>
      <c r="F4" s="7"/>
      <c r="G4" s="7"/>
      <c r="H4" s="7"/>
      <c r="I4" s="53">
        <v>2</v>
      </c>
      <c r="K4" s="29" t="s">
        <v>5</v>
      </c>
    </row>
    <row r="5" spans="2:17" x14ac:dyDescent="0.35">
      <c r="C5" s="7" t="s">
        <v>6</v>
      </c>
      <c r="D5" s="7"/>
      <c r="E5" s="7"/>
      <c r="F5" s="7"/>
      <c r="G5" s="7"/>
      <c r="H5" s="7"/>
      <c r="I5" s="53">
        <v>1</v>
      </c>
      <c r="K5" s="29" t="s">
        <v>6</v>
      </c>
      <c r="Q5">
        <f>9+81+63</f>
        <v>153</v>
      </c>
    </row>
    <row r="6" spans="2:17" x14ac:dyDescent="0.35">
      <c r="C6" s="7" t="s">
        <v>99</v>
      </c>
      <c r="D6" s="7"/>
      <c r="E6" s="7"/>
      <c r="F6" s="7"/>
      <c r="G6" s="7"/>
      <c r="H6" s="7"/>
      <c r="I6" s="53">
        <v>1</v>
      </c>
      <c r="K6" s="29" t="s">
        <v>8</v>
      </c>
    </row>
    <row r="7" spans="2:17" x14ac:dyDescent="0.35">
      <c r="C7" s="7" t="s">
        <v>100</v>
      </c>
      <c r="D7" s="7"/>
      <c r="E7" s="7"/>
      <c r="F7" s="7"/>
      <c r="G7" s="7"/>
      <c r="H7" s="7"/>
      <c r="I7" s="53">
        <v>4</v>
      </c>
      <c r="K7" s="29" t="s">
        <v>33</v>
      </c>
    </row>
    <row r="9" spans="2:17" x14ac:dyDescent="0.35">
      <c r="B9" s="5" t="s">
        <v>104</v>
      </c>
      <c r="C9" s="5"/>
    </row>
    <row r="10" spans="2:17" x14ac:dyDescent="0.35">
      <c r="C10" s="7" t="s">
        <v>17</v>
      </c>
      <c r="D10" s="7"/>
      <c r="E10" s="7">
        <v>1</v>
      </c>
      <c r="F10" s="7" t="s">
        <v>94</v>
      </c>
      <c r="G10" s="7"/>
      <c r="H10" s="7" t="s">
        <v>110</v>
      </c>
      <c r="K10" s="29" t="s">
        <v>17</v>
      </c>
    </row>
    <row r="11" spans="2:17" x14ac:dyDescent="0.35">
      <c r="C11" s="7" t="s">
        <v>18</v>
      </c>
      <c r="D11" s="7"/>
      <c r="E11" s="7">
        <v>1</v>
      </c>
      <c r="F11" s="7" t="s">
        <v>94</v>
      </c>
      <c r="G11" s="7">
        <v>5</v>
      </c>
      <c r="H11" s="7" t="s">
        <v>90</v>
      </c>
      <c r="K11" s="29" t="s">
        <v>18</v>
      </c>
    </row>
    <row r="12" spans="2:17" x14ac:dyDescent="0.35">
      <c r="C12" s="7" t="s">
        <v>101</v>
      </c>
      <c r="D12" s="7"/>
      <c r="E12" s="7">
        <v>1</v>
      </c>
      <c r="F12" s="7" t="s">
        <v>94</v>
      </c>
      <c r="G12" s="7">
        <v>30</v>
      </c>
      <c r="H12" s="7" t="s">
        <v>96</v>
      </c>
      <c r="K12" s="29" t="s">
        <v>19</v>
      </c>
    </row>
    <row r="13" spans="2:17" x14ac:dyDescent="0.35">
      <c r="I13" t="s">
        <v>112</v>
      </c>
      <c r="J13" t="s">
        <v>113</v>
      </c>
    </row>
    <row r="14" spans="2:17" x14ac:dyDescent="0.35">
      <c r="B14" s="8" t="s">
        <v>105</v>
      </c>
      <c r="C14" s="6"/>
      <c r="D14" s="6"/>
      <c r="E14" s="6"/>
      <c r="F14" s="6"/>
      <c r="G14" s="6"/>
      <c r="H14" s="6"/>
      <c r="I14" s="11">
        <f>SUM(I15:I24)</f>
        <v>34</v>
      </c>
      <c r="J14" s="4">
        <f>SUM(J15:J24)</f>
        <v>81</v>
      </c>
    </row>
    <row r="15" spans="2:17" x14ac:dyDescent="0.35">
      <c r="C15" s="6" t="s">
        <v>17</v>
      </c>
      <c r="D15" s="6"/>
      <c r="E15" s="6">
        <v>1</v>
      </c>
      <c r="F15" s="6" t="s">
        <v>94</v>
      </c>
      <c r="G15" s="6"/>
      <c r="H15" s="6" t="s">
        <v>27</v>
      </c>
      <c r="I15" s="9">
        <v>1</v>
      </c>
      <c r="J15" s="56">
        <v>1</v>
      </c>
      <c r="L15" s="29" t="s">
        <v>141</v>
      </c>
    </row>
    <row r="16" spans="2:17" x14ac:dyDescent="0.35">
      <c r="C16" s="7" t="s">
        <v>87</v>
      </c>
      <c r="D16" s="7"/>
      <c r="E16" s="7">
        <v>1</v>
      </c>
      <c r="F16" s="7" t="s">
        <v>94</v>
      </c>
      <c r="G16" s="7">
        <v>5</v>
      </c>
      <c r="H16" s="7" t="s">
        <v>90</v>
      </c>
      <c r="I16" s="10">
        <v>1</v>
      </c>
      <c r="J16" s="51">
        <v>2</v>
      </c>
      <c r="L16" s="29" t="s">
        <v>142</v>
      </c>
    </row>
    <row r="17" spans="2:18" x14ac:dyDescent="0.35">
      <c r="C17" s="7" t="s">
        <v>95</v>
      </c>
      <c r="D17" s="7" t="s">
        <v>88</v>
      </c>
      <c r="E17" s="7">
        <v>1</v>
      </c>
      <c r="F17" s="7" t="s">
        <v>94</v>
      </c>
      <c r="G17" s="7">
        <v>5</v>
      </c>
      <c r="H17" s="7" t="s">
        <v>90</v>
      </c>
      <c r="I17" s="10">
        <v>1</v>
      </c>
      <c r="J17" s="51">
        <v>2</v>
      </c>
      <c r="L17" s="29" t="s">
        <v>42</v>
      </c>
    </row>
    <row r="18" spans="2:18" x14ac:dyDescent="0.35">
      <c r="C18" s="7" t="s">
        <v>95</v>
      </c>
      <c r="D18" s="7" t="s">
        <v>89</v>
      </c>
      <c r="E18" s="7">
        <v>2</v>
      </c>
      <c r="F18" s="7" t="s">
        <v>94</v>
      </c>
      <c r="G18" s="7">
        <v>1</v>
      </c>
      <c r="H18" s="7" t="s">
        <v>90</v>
      </c>
      <c r="I18" s="10">
        <v>8</v>
      </c>
      <c r="J18" s="51">
        <v>20</v>
      </c>
      <c r="L18" s="29" t="s">
        <v>52</v>
      </c>
    </row>
    <row r="19" spans="2:18" x14ac:dyDescent="0.35">
      <c r="C19" s="7" t="s">
        <v>91</v>
      </c>
      <c r="D19" s="7" t="s">
        <v>88</v>
      </c>
      <c r="E19" s="7">
        <v>1</v>
      </c>
      <c r="F19" s="7" t="s">
        <v>94</v>
      </c>
      <c r="G19" s="7">
        <v>5</v>
      </c>
      <c r="H19" s="7" t="s">
        <v>90</v>
      </c>
      <c r="I19" s="10">
        <v>1</v>
      </c>
      <c r="J19" s="51">
        <v>2</v>
      </c>
      <c r="L19" s="29" t="s">
        <v>55</v>
      </c>
    </row>
    <row r="20" spans="2:18" x14ac:dyDescent="0.35">
      <c r="C20" s="7" t="s">
        <v>91</v>
      </c>
      <c r="D20" s="7" t="s">
        <v>89</v>
      </c>
      <c r="E20" s="7">
        <v>1</v>
      </c>
      <c r="F20" s="7" t="s">
        <v>94</v>
      </c>
      <c r="G20" s="7">
        <v>5</v>
      </c>
      <c r="H20" s="7" t="s">
        <v>90</v>
      </c>
      <c r="I20" s="10">
        <v>1</v>
      </c>
      <c r="J20" s="51">
        <v>2</v>
      </c>
      <c r="L20" s="29" t="s">
        <v>57</v>
      </c>
    </row>
    <row r="21" spans="2:18" x14ac:dyDescent="0.35">
      <c r="C21" s="7" t="s">
        <v>93</v>
      </c>
      <c r="D21" s="7" t="s">
        <v>88</v>
      </c>
      <c r="E21" s="7">
        <v>1</v>
      </c>
      <c r="F21" s="7" t="s">
        <v>94</v>
      </c>
      <c r="G21" s="7">
        <v>5</v>
      </c>
      <c r="H21" s="7" t="s">
        <v>90</v>
      </c>
      <c r="I21" s="10">
        <v>1</v>
      </c>
      <c r="J21" s="51">
        <v>2</v>
      </c>
      <c r="L21" s="29" t="s">
        <v>143</v>
      </c>
      <c r="R21" s="29"/>
    </row>
    <row r="22" spans="2:18" x14ac:dyDescent="0.35">
      <c r="C22" s="7" t="s">
        <v>93</v>
      </c>
      <c r="D22" s="7" t="s">
        <v>89</v>
      </c>
      <c r="E22" s="7">
        <v>4</v>
      </c>
      <c r="F22" s="7" t="s">
        <v>94</v>
      </c>
      <c r="G22" s="7">
        <v>1</v>
      </c>
      <c r="H22" s="7" t="s">
        <v>90</v>
      </c>
      <c r="I22" s="10">
        <v>16</v>
      </c>
      <c r="J22" s="51">
        <v>40</v>
      </c>
      <c r="L22" s="29" t="s">
        <v>144</v>
      </c>
      <c r="Q22" s="13" t="s">
        <v>109</v>
      </c>
      <c r="R22" s="29"/>
    </row>
    <row r="23" spans="2:18" x14ac:dyDescent="0.35">
      <c r="C23" s="7" t="s">
        <v>92</v>
      </c>
      <c r="D23" s="7"/>
      <c r="E23" s="7">
        <v>1</v>
      </c>
      <c r="F23" s="7" t="s">
        <v>94</v>
      </c>
      <c r="G23" s="7">
        <v>2</v>
      </c>
      <c r="H23" s="7" t="s">
        <v>90</v>
      </c>
      <c r="I23" s="10">
        <v>2</v>
      </c>
      <c r="J23" s="51">
        <v>5</v>
      </c>
      <c r="L23" s="29" t="s">
        <v>66</v>
      </c>
    </row>
    <row r="24" spans="2:18" x14ac:dyDescent="0.35">
      <c r="C24" t="s">
        <v>242</v>
      </c>
      <c r="E24">
        <v>1</v>
      </c>
      <c r="F24" t="s">
        <v>94</v>
      </c>
      <c r="G24">
        <v>2</v>
      </c>
      <c r="H24" t="s">
        <v>243</v>
      </c>
      <c r="I24" s="44">
        <v>2</v>
      </c>
      <c r="J24" s="55">
        <v>5</v>
      </c>
      <c r="L24" s="29" t="s">
        <v>65</v>
      </c>
    </row>
    <row r="25" spans="2:18" x14ac:dyDescent="0.35">
      <c r="I25" s="44"/>
      <c r="J25" s="44"/>
      <c r="L25" s="29"/>
    </row>
    <row r="26" spans="2:18" x14ac:dyDescent="0.35">
      <c r="I26" t="s">
        <v>112</v>
      </c>
      <c r="O26" t="s">
        <v>113</v>
      </c>
    </row>
    <row r="27" spans="2:18" x14ac:dyDescent="0.35">
      <c r="B27" s="8" t="s">
        <v>102</v>
      </c>
      <c r="C27" s="6"/>
      <c r="D27" s="6"/>
      <c r="E27" s="6"/>
      <c r="F27" s="6"/>
      <c r="G27" s="6"/>
      <c r="H27" s="6"/>
      <c r="I27" s="11">
        <f>SUM(I28:I30)</f>
        <v>4</v>
      </c>
      <c r="J27" s="12">
        <v>176</v>
      </c>
      <c r="K27" s="5">
        <v>319</v>
      </c>
      <c r="L27" s="5">
        <v>468</v>
      </c>
      <c r="M27" s="5">
        <f>SUM(M28:M30)</f>
        <v>24</v>
      </c>
      <c r="N27" s="5">
        <f t="shared" ref="N27:O27" si="0">SUM(N28:N30)</f>
        <v>43</v>
      </c>
      <c r="O27" s="14">
        <f t="shared" si="0"/>
        <v>63</v>
      </c>
    </row>
    <row r="28" spans="2:18" x14ac:dyDescent="0.35">
      <c r="C28" s="6" t="s">
        <v>106</v>
      </c>
      <c r="D28" s="6"/>
      <c r="E28" s="6">
        <v>1</v>
      </c>
      <c r="F28" s="6" t="s">
        <v>94</v>
      </c>
      <c r="G28" s="6">
        <v>30</v>
      </c>
      <c r="H28" s="6" t="s">
        <v>96</v>
      </c>
      <c r="I28" s="9">
        <v>1</v>
      </c>
      <c r="J28" s="3">
        <f t="shared" ref="J28:L30" si="1">ROUNDUP(J$27/$G28,0)</f>
        <v>6</v>
      </c>
      <c r="K28" s="3">
        <f t="shared" si="1"/>
        <v>11</v>
      </c>
      <c r="L28" s="3">
        <f t="shared" si="1"/>
        <v>16</v>
      </c>
      <c r="M28">
        <v>6</v>
      </c>
      <c r="N28">
        <v>11</v>
      </c>
      <c r="O28" s="52">
        <v>16</v>
      </c>
      <c r="Q28" s="29" t="s">
        <v>19</v>
      </c>
    </row>
    <row r="29" spans="2:18" x14ac:dyDescent="0.35">
      <c r="C29" s="7" t="s">
        <v>107</v>
      </c>
      <c r="D29" s="7"/>
      <c r="E29" s="7">
        <v>1</v>
      </c>
      <c r="F29" s="7" t="s">
        <v>94</v>
      </c>
      <c r="G29" s="7">
        <v>10</v>
      </c>
      <c r="H29" s="7" t="s">
        <v>96</v>
      </c>
      <c r="I29" s="10">
        <v>2</v>
      </c>
      <c r="J29" s="3">
        <f t="shared" si="1"/>
        <v>18</v>
      </c>
      <c r="K29" s="3">
        <f t="shared" si="1"/>
        <v>32</v>
      </c>
      <c r="L29" s="3">
        <f t="shared" si="1"/>
        <v>47</v>
      </c>
      <c r="M29">
        <v>14</v>
      </c>
      <c r="N29">
        <f>K29/4*3</f>
        <v>24</v>
      </c>
      <c r="O29" s="52">
        <v>35</v>
      </c>
      <c r="Q29" s="29" t="s">
        <v>68</v>
      </c>
    </row>
    <row r="30" spans="2:18" x14ac:dyDescent="0.35">
      <c r="C30" s="7" t="s">
        <v>108</v>
      </c>
      <c r="D30" s="7"/>
      <c r="E30" s="7">
        <v>1</v>
      </c>
      <c r="F30" s="7" t="s">
        <v>94</v>
      </c>
      <c r="G30" s="7">
        <v>10</v>
      </c>
      <c r="H30" s="7" t="s">
        <v>96</v>
      </c>
      <c r="I30" s="10">
        <v>1</v>
      </c>
      <c r="J30" s="3">
        <f t="shared" si="1"/>
        <v>18</v>
      </c>
      <c r="K30" s="3">
        <f t="shared" si="1"/>
        <v>32</v>
      </c>
      <c r="L30" s="3">
        <f t="shared" si="1"/>
        <v>47</v>
      </c>
      <c r="M30">
        <v>4</v>
      </c>
      <c r="N30">
        <f>K30/4</f>
        <v>8</v>
      </c>
      <c r="O30" s="52">
        <v>12</v>
      </c>
      <c r="Q30" s="29" t="s">
        <v>69</v>
      </c>
    </row>
    <row r="32" spans="2:18" x14ac:dyDescent="0.35">
      <c r="C32" s="13" t="s">
        <v>109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C1F66D-2DBF-4141-9060-E5D01F40CB0A}">
  <dimension ref="A1:AO25"/>
  <sheetViews>
    <sheetView showGridLines="0" tabSelected="1" zoomScale="120" zoomScaleNormal="120" workbookViewId="0">
      <pane xSplit="7" ySplit="2" topLeftCell="H17" activePane="bottomRight" state="frozen"/>
      <selection pane="topRight" activeCell="F1" sqref="F1"/>
      <selection pane="bottomLeft" activeCell="A2" sqref="A2"/>
      <selection pane="bottomRight" activeCell="B20" sqref="B20"/>
    </sheetView>
  </sheetViews>
  <sheetFormatPr defaultColWidth="9.1796875" defaultRowHeight="14.5" x14ac:dyDescent="0.35"/>
  <cols>
    <col min="1" max="1" width="7.90625" style="1" customWidth="1"/>
    <col min="2" max="2" width="15.26953125" style="1" bestFit="1" customWidth="1"/>
    <col min="3" max="4" width="15.26953125" style="1" customWidth="1"/>
    <col min="5" max="5" width="5.81640625" style="1" customWidth="1"/>
    <col min="6" max="6" width="7.36328125" style="1" customWidth="1"/>
    <col min="7" max="7" width="5.81640625" style="1" customWidth="1"/>
    <col min="8" max="9" width="41.26953125" style="1" customWidth="1"/>
    <col min="10" max="10" width="10" style="1" customWidth="1"/>
    <col min="11" max="11" width="41.26953125" style="1" customWidth="1"/>
    <col min="12" max="14" width="6.453125" style="1" customWidth="1"/>
    <col min="15" max="15" width="7.26953125" style="1" customWidth="1"/>
    <col min="16" max="17" width="6.453125" style="1" customWidth="1"/>
    <col min="18" max="18" width="6.54296875" style="1" customWidth="1"/>
    <col min="19" max="19" width="6.6328125" style="1" customWidth="1"/>
    <col min="20" max="20" width="9.7265625" style="1" customWidth="1"/>
    <col min="21" max="25" width="6.453125" style="1" customWidth="1"/>
    <col min="26" max="26" width="9.6328125" style="1" customWidth="1"/>
    <col min="27" max="27" width="10" style="1" customWidth="1"/>
    <col min="28" max="28" width="10.7265625" style="1" customWidth="1"/>
    <col min="29" max="29" width="10" style="1" customWidth="1"/>
    <col min="30" max="30" width="9"/>
    <col min="31" max="36" width="6.7265625" style="2" customWidth="1"/>
    <col min="37" max="39" width="9.1796875" style="1"/>
    <col min="40" max="40" width="10.54296875" style="1" customWidth="1"/>
    <col min="41" max="16384" width="9.1796875" style="1"/>
  </cols>
  <sheetData>
    <row r="1" spans="1:41" ht="39" customHeight="1" x14ac:dyDescent="0.35">
      <c r="C1" s="64" t="s">
        <v>365</v>
      </c>
      <c r="D1" s="64"/>
      <c r="L1" s="16" t="s">
        <v>129</v>
      </c>
      <c r="M1" s="16"/>
      <c r="N1" s="16"/>
      <c r="O1" s="16"/>
      <c r="P1" s="16"/>
      <c r="Q1" s="16"/>
      <c r="R1" s="16"/>
      <c r="S1" s="16"/>
      <c r="T1" s="16"/>
      <c r="U1" s="16"/>
      <c r="V1" s="16"/>
      <c r="W1" s="16"/>
      <c r="X1" s="16"/>
      <c r="Y1" s="16"/>
      <c r="Z1" s="16"/>
      <c r="AA1" s="16"/>
      <c r="AB1" s="16"/>
      <c r="AC1" s="16"/>
      <c r="AE1" s="17" t="s">
        <v>130</v>
      </c>
      <c r="AF1" s="18"/>
      <c r="AG1" s="18"/>
      <c r="AH1" s="18"/>
      <c r="AI1" s="18"/>
      <c r="AJ1" s="18"/>
      <c r="AK1" s="19"/>
      <c r="AL1" s="19"/>
      <c r="AM1" s="19"/>
      <c r="AN1" s="19"/>
      <c r="AO1" s="19"/>
    </row>
    <row r="2" spans="1:41" ht="78" customHeight="1" x14ac:dyDescent="0.35">
      <c r="B2" s="30" t="s">
        <v>2</v>
      </c>
      <c r="C2" s="30" t="s">
        <v>81</v>
      </c>
      <c r="D2" s="30" t="s">
        <v>27</v>
      </c>
      <c r="E2" s="30" t="s">
        <v>28</v>
      </c>
      <c r="F2" s="31" t="s">
        <v>37</v>
      </c>
      <c r="G2" s="30" t="s">
        <v>29</v>
      </c>
      <c r="H2" s="30" t="s">
        <v>25</v>
      </c>
      <c r="I2" s="30" t="s">
        <v>26</v>
      </c>
      <c r="J2" s="35" t="s">
        <v>145</v>
      </c>
      <c r="K2" s="30" t="s">
        <v>364</v>
      </c>
      <c r="L2" s="20" t="s">
        <v>15</v>
      </c>
      <c r="M2" s="20" t="s">
        <v>138</v>
      </c>
      <c r="N2" s="20" t="s">
        <v>14</v>
      </c>
      <c r="O2" s="20" t="s">
        <v>35</v>
      </c>
      <c r="P2" s="20" t="s">
        <v>38</v>
      </c>
      <c r="Q2" s="20" t="s">
        <v>139</v>
      </c>
      <c r="R2" s="32" t="s">
        <v>40</v>
      </c>
      <c r="S2" s="32" t="s">
        <v>135</v>
      </c>
      <c r="T2" s="38" t="s">
        <v>194</v>
      </c>
      <c r="U2" s="20" t="s">
        <v>44</v>
      </c>
      <c r="V2" s="20" t="s">
        <v>45</v>
      </c>
      <c r="W2" s="20" t="s">
        <v>46</v>
      </c>
      <c r="X2" s="20" t="s">
        <v>47</v>
      </c>
      <c r="Y2" s="20" t="s">
        <v>48</v>
      </c>
      <c r="Z2" s="20" t="s">
        <v>54</v>
      </c>
      <c r="AA2" s="20" t="s">
        <v>86</v>
      </c>
      <c r="AB2" s="20" t="s">
        <v>136</v>
      </c>
      <c r="AC2" s="20" t="s">
        <v>137</v>
      </c>
      <c r="AD2" s="33"/>
      <c r="AE2" s="20" t="s">
        <v>38</v>
      </c>
      <c r="AF2" s="32" t="s">
        <v>131</v>
      </c>
      <c r="AG2" s="20" t="s">
        <v>132</v>
      </c>
      <c r="AH2" s="20" t="s">
        <v>39</v>
      </c>
      <c r="AI2" s="20" t="s">
        <v>133</v>
      </c>
      <c r="AJ2" s="32" t="s">
        <v>134</v>
      </c>
      <c r="AK2" s="20" t="s">
        <v>49</v>
      </c>
      <c r="AL2" s="20" t="s">
        <v>50</v>
      </c>
      <c r="AM2" s="20" t="s">
        <v>51</v>
      </c>
      <c r="AN2" s="38" t="s">
        <v>194</v>
      </c>
      <c r="AO2" s="34" t="s">
        <v>241</v>
      </c>
    </row>
    <row r="3" spans="1:41" ht="90" x14ac:dyDescent="0.35">
      <c r="B3" s="63" t="s">
        <v>66</v>
      </c>
      <c r="C3" s="21" t="s">
        <v>83</v>
      </c>
      <c r="D3" s="21" t="s">
        <v>21</v>
      </c>
      <c r="E3" s="58">
        <v>5</v>
      </c>
      <c r="F3" s="21" t="s">
        <v>84</v>
      </c>
      <c r="G3" s="21" t="s">
        <v>1</v>
      </c>
      <c r="H3" s="22" t="s">
        <v>128</v>
      </c>
      <c r="I3" s="22" t="s">
        <v>67</v>
      </c>
      <c r="J3" s="58">
        <v>2</v>
      </c>
      <c r="K3" s="36" t="s">
        <v>203</v>
      </c>
      <c r="L3" s="24" t="s">
        <v>11</v>
      </c>
      <c r="M3" s="24" t="s">
        <v>11</v>
      </c>
      <c r="N3" s="24" t="s">
        <v>11</v>
      </c>
      <c r="O3" s="24" t="s">
        <v>11</v>
      </c>
      <c r="P3" s="24" t="s">
        <v>11</v>
      </c>
      <c r="Q3" s="24" t="s">
        <v>11</v>
      </c>
      <c r="R3" s="42" t="s">
        <v>290</v>
      </c>
      <c r="S3" s="24" t="s">
        <v>11</v>
      </c>
      <c r="T3" s="24" t="s">
        <v>11</v>
      </c>
      <c r="U3" s="24" t="s">
        <v>11</v>
      </c>
      <c r="V3" s="24" t="s">
        <v>11</v>
      </c>
      <c r="W3" s="24" t="s">
        <v>11</v>
      </c>
      <c r="X3" s="24" t="s">
        <v>11</v>
      </c>
      <c r="Y3" s="24" t="s">
        <v>11</v>
      </c>
      <c r="Z3" s="24" t="s">
        <v>11</v>
      </c>
      <c r="AA3" s="24" t="s">
        <v>11</v>
      </c>
      <c r="AB3" s="42" t="s">
        <v>290</v>
      </c>
      <c r="AC3" s="42" t="s">
        <v>290</v>
      </c>
      <c r="AD3" s="25"/>
      <c r="AE3" s="26" t="s">
        <v>11</v>
      </c>
      <c r="AF3" s="26" t="s">
        <v>11</v>
      </c>
      <c r="AG3" s="41" t="s">
        <v>291</v>
      </c>
      <c r="AH3" s="26" t="s">
        <v>11</v>
      </c>
      <c r="AI3" s="26" t="s">
        <v>11</v>
      </c>
      <c r="AJ3" s="26" t="s">
        <v>11</v>
      </c>
      <c r="AK3" s="26" t="s">
        <v>11</v>
      </c>
      <c r="AL3" s="26" t="s">
        <v>11</v>
      </c>
      <c r="AM3" s="26" t="s">
        <v>11</v>
      </c>
      <c r="AN3" s="26" t="s">
        <v>11</v>
      </c>
      <c r="AO3" s="26" t="s">
        <v>11</v>
      </c>
    </row>
    <row r="4" spans="1:41" ht="100" x14ac:dyDescent="0.35">
      <c r="B4" s="65" t="s">
        <v>19</v>
      </c>
      <c r="C4" s="21" t="s">
        <v>31</v>
      </c>
      <c r="D4" s="21" t="s">
        <v>16</v>
      </c>
      <c r="E4" s="21">
        <v>8</v>
      </c>
      <c r="F4" s="21" t="s">
        <v>20</v>
      </c>
      <c r="G4" s="21" t="s">
        <v>1</v>
      </c>
      <c r="H4" s="22" t="s">
        <v>198</v>
      </c>
      <c r="I4" s="36" t="s">
        <v>146</v>
      </c>
      <c r="J4" s="21">
        <v>5</v>
      </c>
      <c r="K4" s="36" t="s">
        <v>203</v>
      </c>
      <c r="L4" s="24" t="s">
        <v>11</v>
      </c>
      <c r="M4" s="24" t="s">
        <v>11</v>
      </c>
      <c r="N4" s="24" t="s">
        <v>11</v>
      </c>
      <c r="O4" s="24" t="s">
        <v>11</v>
      </c>
      <c r="P4" s="24" t="s">
        <v>11</v>
      </c>
      <c r="Q4" s="24" t="s">
        <v>11</v>
      </c>
      <c r="R4" s="24" t="s">
        <v>11</v>
      </c>
      <c r="S4" s="24" t="s">
        <v>11</v>
      </c>
      <c r="T4" s="43" t="s">
        <v>290</v>
      </c>
      <c r="U4" s="24" t="s">
        <v>11</v>
      </c>
      <c r="V4" s="24" t="s">
        <v>11</v>
      </c>
      <c r="W4" s="24" t="s">
        <v>11</v>
      </c>
      <c r="X4" s="24" t="s">
        <v>11</v>
      </c>
      <c r="Y4" s="24" t="s">
        <v>11</v>
      </c>
      <c r="Z4" s="23" t="s">
        <v>11</v>
      </c>
      <c r="AA4" s="23" t="s">
        <v>11</v>
      </c>
      <c r="AB4" s="23" t="s">
        <v>11</v>
      </c>
      <c r="AC4" s="23" t="s">
        <v>11</v>
      </c>
      <c r="AD4" s="25"/>
      <c r="AE4" s="27" t="s">
        <v>11</v>
      </c>
      <c r="AF4" s="27" t="s">
        <v>11</v>
      </c>
      <c r="AG4" s="27" t="s">
        <v>11</v>
      </c>
      <c r="AH4" s="27" t="s">
        <v>11</v>
      </c>
      <c r="AI4" s="27" t="s">
        <v>11</v>
      </c>
      <c r="AJ4" s="26" t="s">
        <v>11</v>
      </c>
      <c r="AK4" s="26" t="s">
        <v>11</v>
      </c>
      <c r="AL4" s="26" t="s">
        <v>11</v>
      </c>
      <c r="AM4" s="26" t="s">
        <v>11</v>
      </c>
      <c r="AN4" s="41" t="s">
        <v>291</v>
      </c>
      <c r="AO4" s="26" t="s">
        <v>11</v>
      </c>
    </row>
    <row r="5" spans="1:41" ht="100" x14ac:dyDescent="0.35">
      <c r="B5" s="66"/>
      <c r="C5" s="21" t="s">
        <v>31</v>
      </c>
      <c r="D5" s="21" t="s">
        <v>24</v>
      </c>
      <c r="E5" s="21">
        <v>8</v>
      </c>
      <c r="F5" s="21" t="s">
        <v>20</v>
      </c>
      <c r="G5" s="21" t="s">
        <v>1</v>
      </c>
      <c r="H5" s="22" t="s">
        <v>199</v>
      </c>
      <c r="I5" s="36" t="s">
        <v>195</v>
      </c>
      <c r="J5" s="21">
        <v>5</v>
      </c>
      <c r="K5" s="36" t="s">
        <v>203</v>
      </c>
      <c r="L5" s="24" t="s">
        <v>11</v>
      </c>
      <c r="M5" s="24" t="s">
        <v>11</v>
      </c>
      <c r="N5" s="24" t="s">
        <v>11</v>
      </c>
      <c r="O5" s="24" t="s">
        <v>11</v>
      </c>
      <c r="P5" s="24" t="s">
        <v>11</v>
      </c>
      <c r="Q5" s="24" t="s">
        <v>11</v>
      </c>
      <c r="R5" s="24" t="s">
        <v>11</v>
      </c>
      <c r="S5" s="24" t="s">
        <v>11</v>
      </c>
      <c r="T5" s="43" t="s">
        <v>290</v>
      </c>
      <c r="U5" s="24" t="s">
        <v>11</v>
      </c>
      <c r="V5" s="24" t="s">
        <v>11</v>
      </c>
      <c r="W5" s="24" t="s">
        <v>11</v>
      </c>
      <c r="X5" s="24" t="s">
        <v>11</v>
      </c>
      <c r="Y5" s="24" t="s">
        <v>11</v>
      </c>
      <c r="Z5" s="23" t="s">
        <v>11</v>
      </c>
      <c r="AA5" s="23" t="s">
        <v>11</v>
      </c>
      <c r="AB5" s="23" t="s">
        <v>11</v>
      </c>
      <c r="AC5" s="23" t="s">
        <v>11</v>
      </c>
      <c r="AD5" s="25"/>
      <c r="AE5" s="27" t="s">
        <v>11</v>
      </c>
      <c r="AF5" s="27" t="s">
        <v>11</v>
      </c>
      <c r="AG5" s="27" t="s">
        <v>11</v>
      </c>
      <c r="AH5" s="27" t="s">
        <v>11</v>
      </c>
      <c r="AI5" s="27" t="s">
        <v>11</v>
      </c>
      <c r="AJ5" s="26" t="s">
        <v>11</v>
      </c>
      <c r="AK5" s="26" t="s">
        <v>11</v>
      </c>
      <c r="AL5" s="26" t="s">
        <v>11</v>
      </c>
      <c r="AM5" s="26" t="s">
        <v>11</v>
      </c>
      <c r="AN5" s="41" t="s">
        <v>291</v>
      </c>
      <c r="AO5" s="26" t="s">
        <v>11</v>
      </c>
    </row>
    <row r="6" spans="1:41" ht="150" x14ac:dyDescent="0.35">
      <c r="B6" s="65" t="s">
        <v>18</v>
      </c>
      <c r="C6" s="21" t="s">
        <v>30</v>
      </c>
      <c r="D6" s="21" t="s">
        <v>16</v>
      </c>
      <c r="E6" s="21">
        <v>1</v>
      </c>
      <c r="F6" s="21" t="s">
        <v>41</v>
      </c>
      <c r="G6" s="21" t="s">
        <v>1</v>
      </c>
      <c r="H6" s="22" t="s">
        <v>196</v>
      </c>
      <c r="I6" s="22" t="s">
        <v>197</v>
      </c>
      <c r="J6" s="21">
        <v>5</v>
      </c>
      <c r="K6" s="36" t="s">
        <v>203</v>
      </c>
      <c r="L6" s="23" t="s">
        <v>11</v>
      </c>
      <c r="M6" s="23" t="s">
        <v>11</v>
      </c>
      <c r="N6" s="23" t="s">
        <v>11</v>
      </c>
      <c r="O6" s="23" t="s">
        <v>11</v>
      </c>
      <c r="P6" s="23" t="s">
        <v>11</v>
      </c>
      <c r="Q6" s="23" t="s">
        <v>11</v>
      </c>
      <c r="R6" s="23" t="s">
        <v>11</v>
      </c>
      <c r="S6" s="23" t="s">
        <v>11</v>
      </c>
      <c r="T6" s="43" t="s">
        <v>290</v>
      </c>
      <c r="U6" s="24" t="s">
        <v>11</v>
      </c>
      <c r="V6" s="24" t="s">
        <v>11</v>
      </c>
      <c r="W6" s="24" t="s">
        <v>11</v>
      </c>
      <c r="X6" s="24" t="s">
        <v>11</v>
      </c>
      <c r="Y6" s="24" t="s">
        <v>11</v>
      </c>
      <c r="Z6" s="23" t="s">
        <v>11</v>
      </c>
      <c r="AA6" s="23" t="s">
        <v>11</v>
      </c>
      <c r="AB6" s="23" t="s">
        <v>11</v>
      </c>
      <c r="AC6" s="23" t="s">
        <v>11</v>
      </c>
      <c r="AD6" s="25"/>
      <c r="AE6" s="26" t="s">
        <v>11</v>
      </c>
      <c r="AF6" s="27" t="s">
        <v>11</v>
      </c>
      <c r="AG6" s="41" t="s">
        <v>291</v>
      </c>
      <c r="AH6" s="41" t="s">
        <v>291</v>
      </c>
      <c r="AI6" s="26" t="s">
        <v>11</v>
      </c>
      <c r="AJ6" s="26" t="s">
        <v>11</v>
      </c>
      <c r="AK6" s="26" t="s">
        <v>11</v>
      </c>
      <c r="AL6" s="26" t="s">
        <v>11</v>
      </c>
      <c r="AM6" s="26" t="s">
        <v>11</v>
      </c>
      <c r="AN6" s="26" t="s">
        <v>11</v>
      </c>
      <c r="AO6" s="26" t="s">
        <v>11</v>
      </c>
    </row>
    <row r="7" spans="1:41" ht="150" x14ac:dyDescent="0.35">
      <c r="B7" s="66"/>
      <c r="C7" s="21" t="s">
        <v>30</v>
      </c>
      <c r="D7" s="21" t="s">
        <v>21</v>
      </c>
      <c r="E7" s="21">
        <v>1</v>
      </c>
      <c r="F7" s="21" t="s">
        <v>41</v>
      </c>
      <c r="G7" s="21" t="s">
        <v>1</v>
      </c>
      <c r="H7" s="22" t="s">
        <v>200</v>
      </c>
      <c r="I7" s="22" t="s">
        <v>201</v>
      </c>
      <c r="J7" s="21">
        <v>5</v>
      </c>
      <c r="K7" s="36" t="s">
        <v>203</v>
      </c>
      <c r="L7" s="23" t="s">
        <v>11</v>
      </c>
      <c r="M7" s="23" t="s">
        <v>11</v>
      </c>
      <c r="N7" s="23" t="s">
        <v>11</v>
      </c>
      <c r="O7" s="23" t="s">
        <v>11</v>
      </c>
      <c r="P7" s="23" t="s">
        <v>11</v>
      </c>
      <c r="Q7" s="23" t="s">
        <v>11</v>
      </c>
      <c r="R7" s="23" t="s">
        <v>11</v>
      </c>
      <c r="S7" s="23" t="s">
        <v>11</v>
      </c>
      <c r="T7" s="43" t="s">
        <v>290</v>
      </c>
      <c r="U7" s="24" t="s">
        <v>11</v>
      </c>
      <c r="V7" s="24" t="s">
        <v>11</v>
      </c>
      <c r="W7" s="24" t="s">
        <v>11</v>
      </c>
      <c r="X7" s="24" t="s">
        <v>11</v>
      </c>
      <c r="Y7" s="24" t="s">
        <v>11</v>
      </c>
      <c r="Z7" s="23" t="s">
        <v>11</v>
      </c>
      <c r="AA7" s="23" t="s">
        <v>11</v>
      </c>
      <c r="AB7" s="23" t="s">
        <v>11</v>
      </c>
      <c r="AC7" s="23" t="s">
        <v>11</v>
      </c>
      <c r="AD7" s="25"/>
      <c r="AE7" s="26" t="s">
        <v>11</v>
      </c>
      <c r="AF7" s="27" t="s">
        <v>11</v>
      </c>
      <c r="AG7" s="41" t="s">
        <v>291</v>
      </c>
      <c r="AH7" s="41" t="s">
        <v>291</v>
      </c>
      <c r="AI7" s="26" t="s">
        <v>11</v>
      </c>
      <c r="AJ7" s="26" t="s">
        <v>11</v>
      </c>
      <c r="AK7" s="26" t="s">
        <v>11</v>
      </c>
      <c r="AL7" s="26" t="s">
        <v>11</v>
      </c>
      <c r="AM7" s="26" t="s">
        <v>11</v>
      </c>
      <c r="AN7" s="26" t="s">
        <v>11</v>
      </c>
      <c r="AO7" s="26" t="s">
        <v>11</v>
      </c>
    </row>
    <row r="8" spans="1:41" ht="140" x14ac:dyDescent="0.35">
      <c r="B8" s="63" t="s">
        <v>55</v>
      </c>
      <c r="C8" s="21" t="s">
        <v>82</v>
      </c>
      <c r="D8" s="21" t="s">
        <v>21</v>
      </c>
      <c r="E8" s="21">
        <v>2</v>
      </c>
      <c r="F8" s="21" t="s">
        <v>244</v>
      </c>
      <c r="G8" s="21" t="s">
        <v>1</v>
      </c>
      <c r="H8" s="22" t="s">
        <v>202</v>
      </c>
      <c r="I8" s="22" t="s">
        <v>56</v>
      </c>
      <c r="J8" s="21">
        <v>5</v>
      </c>
      <c r="K8" s="36" t="s">
        <v>204</v>
      </c>
      <c r="L8" s="23" t="s">
        <v>11</v>
      </c>
      <c r="M8" s="23" t="s">
        <v>11</v>
      </c>
      <c r="N8" s="23" t="s">
        <v>11</v>
      </c>
      <c r="O8" s="23" t="s">
        <v>11</v>
      </c>
      <c r="P8" s="23" t="s">
        <v>11</v>
      </c>
      <c r="Q8" s="23" t="s">
        <v>11</v>
      </c>
      <c r="R8" s="23" t="s">
        <v>11</v>
      </c>
      <c r="S8" s="23" t="s">
        <v>11</v>
      </c>
      <c r="T8" s="43" t="s">
        <v>290</v>
      </c>
      <c r="U8" s="24" t="s">
        <v>11</v>
      </c>
      <c r="V8" s="24" t="s">
        <v>11</v>
      </c>
      <c r="W8" s="24" t="s">
        <v>11</v>
      </c>
      <c r="X8" s="24" t="s">
        <v>11</v>
      </c>
      <c r="Y8" s="24" t="s">
        <v>11</v>
      </c>
      <c r="Z8" s="23" t="s">
        <v>11</v>
      </c>
      <c r="AA8" s="23" t="s">
        <v>11</v>
      </c>
      <c r="AB8" s="23" t="s">
        <v>11</v>
      </c>
      <c r="AC8" s="23" t="s">
        <v>11</v>
      </c>
      <c r="AD8" s="25"/>
      <c r="AE8" s="26" t="s">
        <v>11</v>
      </c>
      <c r="AF8" s="26" t="s">
        <v>11</v>
      </c>
      <c r="AG8" s="26" t="s">
        <v>11</v>
      </c>
      <c r="AH8" s="26" t="s">
        <v>11</v>
      </c>
      <c r="AI8" s="26" t="s">
        <v>11</v>
      </c>
      <c r="AJ8" s="26" t="s">
        <v>11</v>
      </c>
      <c r="AK8" s="26" t="s">
        <v>11</v>
      </c>
      <c r="AL8" s="26" t="s">
        <v>11</v>
      </c>
      <c r="AM8" s="26" t="s">
        <v>11</v>
      </c>
      <c r="AN8" s="41" t="s">
        <v>291</v>
      </c>
      <c r="AO8" s="26" t="s">
        <v>11</v>
      </c>
    </row>
    <row r="9" spans="1:41" ht="140" x14ac:dyDescent="0.35">
      <c r="B9" s="63" t="s">
        <v>57</v>
      </c>
      <c r="C9" s="21" t="s">
        <v>82</v>
      </c>
      <c r="D9" s="21" t="s">
        <v>21</v>
      </c>
      <c r="E9" s="21">
        <v>2</v>
      </c>
      <c r="F9" s="21" t="s">
        <v>244</v>
      </c>
      <c r="G9" s="21" t="s">
        <v>1</v>
      </c>
      <c r="H9" s="22" t="s">
        <v>202</v>
      </c>
      <c r="I9" s="22" t="s">
        <v>58</v>
      </c>
      <c r="J9" s="21">
        <v>2</v>
      </c>
      <c r="K9" s="36" t="s">
        <v>204</v>
      </c>
      <c r="L9" s="23" t="s">
        <v>11</v>
      </c>
      <c r="M9" s="23" t="s">
        <v>11</v>
      </c>
      <c r="N9" s="23" t="s">
        <v>11</v>
      </c>
      <c r="O9" s="23" t="s">
        <v>11</v>
      </c>
      <c r="P9" s="23" t="s">
        <v>11</v>
      </c>
      <c r="Q9" s="23" t="s">
        <v>11</v>
      </c>
      <c r="R9" s="23" t="s">
        <v>11</v>
      </c>
      <c r="S9" s="23" t="s">
        <v>11</v>
      </c>
      <c r="T9" s="43" t="s">
        <v>290</v>
      </c>
      <c r="U9" s="24" t="s">
        <v>11</v>
      </c>
      <c r="V9" s="24" t="s">
        <v>11</v>
      </c>
      <c r="W9" s="24" t="s">
        <v>11</v>
      </c>
      <c r="X9" s="24" t="s">
        <v>11</v>
      </c>
      <c r="Y9" s="24" t="s">
        <v>11</v>
      </c>
      <c r="Z9" s="23" t="s">
        <v>11</v>
      </c>
      <c r="AA9" s="23" t="s">
        <v>11</v>
      </c>
      <c r="AB9" s="23" t="s">
        <v>11</v>
      </c>
      <c r="AC9" s="23" t="s">
        <v>11</v>
      </c>
      <c r="AD9" s="25"/>
      <c r="AE9" s="26" t="s">
        <v>11</v>
      </c>
      <c r="AF9" s="26" t="s">
        <v>11</v>
      </c>
      <c r="AG9" s="26" t="s">
        <v>11</v>
      </c>
      <c r="AH9" s="26" t="s">
        <v>11</v>
      </c>
      <c r="AI9" s="26" t="s">
        <v>11</v>
      </c>
      <c r="AJ9" s="26" t="s">
        <v>11</v>
      </c>
      <c r="AK9" s="26" t="s">
        <v>11</v>
      </c>
      <c r="AL9" s="26" t="s">
        <v>11</v>
      </c>
      <c r="AM9" s="26" t="s">
        <v>11</v>
      </c>
      <c r="AN9" s="41" t="s">
        <v>291</v>
      </c>
      <c r="AO9" s="26" t="s">
        <v>11</v>
      </c>
    </row>
    <row r="10" spans="1:41" ht="70" x14ac:dyDescent="0.35">
      <c r="B10" s="63" t="s">
        <v>5</v>
      </c>
      <c r="C10" s="21" t="s">
        <v>30</v>
      </c>
      <c r="D10" s="21" t="s">
        <v>111</v>
      </c>
      <c r="E10" s="21">
        <v>2</v>
      </c>
      <c r="F10" s="21"/>
      <c r="G10" s="21" t="s">
        <v>1</v>
      </c>
      <c r="H10" s="22" t="s">
        <v>10</v>
      </c>
      <c r="I10" s="22" t="s">
        <v>240</v>
      </c>
      <c r="J10" s="21">
        <v>5</v>
      </c>
      <c r="K10" s="36" t="s">
        <v>203</v>
      </c>
      <c r="L10" s="43" t="s">
        <v>290</v>
      </c>
      <c r="M10" s="43" t="s">
        <v>290</v>
      </c>
      <c r="N10" s="23" t="s">
        <v>11</v>
      </c>
      <c r="O10" s="23" t="s">
        <v>11</v>
      </c>
      <c r="P10" s="23" t="s">
        <v>11</v>
      </c>
      <c r="Q10" s="23" t="s">
        <v>11</v>
      </c>
      <c r="R10" s="23" t="s">
        <v>11</v>
      </c>
      <c r="S10" s="23" t="s">
        <v>11</v>
      </c>
      <c r="T10" s="23" t="s">
        <v>11</v>
      </c>
      <c r="U10" s="23" t="s">
        <v>11</v>
      </c>
      <c r="V10" s="23" t="s">
        <v>11</v>
      </c>
      <c r="W10" s="23" t="s">
        <v>11</v>
      </c>
      <c r="X10" s="23" t="s">
        <v>11</v>
      </c>
      <c r="Y10" s="23" t="s">
        <v>11</v>
      </c>
      <c r="Z10" s="23" t="s">
        <v>11</v>
      </c>
      <c r="AA10" s="23" t="s">
        <v>11</v>
      </c>
      <c r="AB10" s="23" t="s">
        <v>11</v>
      </c>
      <c r="AC10" s="23" t="s">
        <v>11</v>
      </c>
      <c r="AD10" s="25"/>
      <c r="AE10" s="41" t="s">
        <v>291</v>
      </c>
      <c r="AF10" s="27" t="s">
        <v>11</v>
      </c>
      <c r="AG10" s="41" t="s">
        <v>290</v>
      </c>
      <c r="AH10" s="41" t="s">
        <v>290</v>
      </c>
      <c r="AI10" s="41" t="s">
        <v>290</v>
      </c>
      <c r="AJ10" s="26" t="s">
        <v>11</v>
      </c>
      <c r="AK10" s="26" t="s">
        <v>11</v>
      </c>
      <c r="AL10" s="26" t="s">
        <v>11</v>
      </c>
      <c r="AM10" s="26" t="s">
        <v>11</v>
      </c>
      <c r="AN10" s="26" t="s">
        <v>11</v>
      </c>
      <c r="AO10" s="26" t="s">
        <v>11</v>
      </c>
    </row>
    <row r="11" spans="1:41" ht="70" x14ac:dyDescent="0.35">
      <c r="B11" s="63" t="s">
        <v>6</v>
      </c>
      <c r="C11" s="21" t="s">
        <v>31</v>
      </c>
      <c r="D11" s="21" t="s">
        <v>111</v>
      </c>
      <c r="E11" s="21">
        <v>1</v>
      </c>
      <c r="F11" s="21"/>
      <c r="G11" s="21" t="s">
        <v>1</v>
      </c>
      <c r="H11" s="22" t="s">
        <v>7</v>
      </c>
      <c r="I11" s="22" t="s">
        <v>12</v>
      </c>
      <c r="J11" s="21">
        <v>5</v>
      </c>
      <c r="K11" s="36" t="s">
        <v>203</v>
      </c>
      <c r="L11" s="43" t="s">
        <v>290</v>
      </c>
      <c r="M11" s="43" t="s">
        <v>290</v>
      </c>
      <c r="N11" s="23" t="s">
        <v>11</v>
      </c>
      <c r="O11" s="23" t="s">
        <v>11</v>
      </c>
      <c r="P11" s="23" t="s">
        <v>11</v>
      </c>
      <c r="Q11" s="23" t="s">
        <v>11</v>
      </c>
      <c r="R11" s="23" t="s">
        <v>11</v>
      </c>
      <c r="S11" s="23" t="s">
        <v>11</v>
      </c>
      <c r="T11" s="23" t="s">
        <v>11</v>
      </c>
      <c r="U11" s="23" t="s">
        <v>11</v>
      </c>
      <c r="V11" s="23" t="s">
        <v>11</v>
      </c>
      <c r="W11" s="23" t="s">
        <v>11</v>
      </c>
      <c r="X11" s="23" t="s">
        <v>11</v>
      </c>
      <c r="Y11" s="23" t="s">
        <v>11</v>
      </c>
      <c r="Z11" s="23" t="s">
        <v>11</v>
      </c>
      <c r="AA11" s="23" t="s">
        <v>11</v>
      </c>
      <c r="AB11" s="23" t="s">
        <v>11</v>
      </c>
      <c r="AC11" s="23" t="s">
        <v>11</v>
      </c>
      <c r="AD11" s="25"/>
      <c r="AE11" s="27" t="s">
        <v>11</v>
      </c>
      <c r="AF11" s="27" t="s">
        <v>11</v>
      </c>
      <c r="AG11" s="27" t="s">
        <v>11</v>
      </c>
      <c r="AH11" s="41" t="s">
        <v>290</v>
      </c>
      <c r="AI11" s="26" t="s">
        <v>11</v>
      </c>
      <c r="AJ11" s="27" t="s">
        <v>11</v>
      </c>
      <c r="AK11" s="26" t="s">
        <v>11</v>
      </c>
      <c r="AL11" s="26" t="s">
        <v>11</v>
      </c>
      <c r="AM11" s="26" t="s">
        <v>11</v>
      </c>
      <c r="AN11" s="26" t="s">
        <v>11</v>
      </c>
      <c r="AO11" s="26" t="s">
        <v>11</v>
      </c>
    </row>
    <row r="12" spans="1:41" ht="70" x14ac:dyDescent="0.35">
      <c r="B12" s="63" t="s">
        <v>8</v>
      </c>
      <c r="C12" s="21" t="s">
        <v>30</v>
      </c>
      <c r="D12" s="21" t="s">
        <v>111</v>
      </c>
      <c r="E12" s="21">
        <v>1</v>
      </c>
      <c r="F12" s="21"/>
      <c r="G12" s="21" t="s">
        <v>1</v>
      </c>
      <c r="H12" s="22" t="s">
        <v>9</v>
      </c>
      <c r="I12" s="22" t="s">
        <v>13</v>
      </c>
      <c r="J12" s="21">
        <v>5</v>
      </c>
      <c r="K12" s="36" t="s">
        <v>203</v>
      </c>
      <c r="L12" s="23" t="s">
        <v>11</v>
      </c>
      <c r="M12" s="23" t="s">
        <v>11</v>
      </c>
      <c r="N12" s="43" t="s">
        <v>292</v>
      </c>
      <c r="O12" s="23" t="s">
        <v>11</v>
      </c>
      <c r="P12" s="23" t="s">
        <v>11</v>
      </c>
      <c r="Q12" s="23" t="s">
        <v>11</v>
      </c>
      <c r="R12" s="23" t="s">
        <v>11</v>
      </c>
      <c r="S12" s="23" t="s">
        <v>11</v>
      </c>
      <c r="T12" s="24" t="s">
        <v>11</v>
      </c>
      <c r="U12" s="24" t="s">
        <v>11</v>
      </c>
      <c r="V12" s="24" t="s">
        <v>11</v>
      </c>
      <c r="W12" s="24" t="s">
        <v>11</v>
      </c>
      <c r="X12" s="24" t="s">
        <v>11</v>
      </c>
      <c r="Y12" s="24" t="s">
        <v>11</v>
      </c>
      <c r="Z12" s="23" t="s">
        <v>11</v>
      </c>
      <c r="AA12" s="23" t="s">
        <v>11</v>
      </c>
      <c r="AB12" s="23" t="s">
        <v>11</v>
      </c>
      <c r="AC12" s="23" t="s">
        <v>11</v>
      </c>
      <c r="AD12" s="25"/>
      <c r="AE12" s="26" t="s">
        <v>11</v>
      </c>
      <c r="AF12" s="27" t="s">
        <v>11</v>
      </c>
      <c r="AG12" s="26" t="s">
        <v>11</v>
      </c>
      <c r="AH12" s="26" t="s">
        <v>11</v>
      </c>
      <c r="AI12" s="26" t="s">
        <v>11</v>
      </c>
      <c r="AJ12" s="26" t="s">
        <v>11</v>
      </c>
      <c r="AK12" s="26" t="s">
        <v>11</v>
      </c>
      <c r="AL12" s="26" t="s">
        <v>11</v>
      </c>
      <c r="AM12" s="26" t="s">
        <v>11</v>
      </c>
      <c r="AN12" s="26" t="s">
        <v>11</v>
      </c>
      <c r="AO12" s="26" t="s">
        <v>11</v>
      </c>
    </row>
    <row r="13" spans="1:41" ht="70" x14ac:dyDescent="0.35">
      <c r="B13" s="62" t="s">
        <v>0</v>
      </c>
      <c r="C13" s="21" t="s">
        <v>32</v>
      </c>
      <c r="D13" s="21" t="s">
        <v>111</v>
      </c>
      <c r="E13" s="21">
        <v>1</v>
      </c>
      <c r="F13" s="21"/>
      <c r="G13" s="21" t="s">
        <v>1</v>
      </c>
      <c r="H13" s="22" t="s">
        <v>3</v>
      </c>
      <c r="I13" s="22" t="s">
        <v>4</v>
      </c>
      <c r="J13" s="21">
        <v>5</v>
      </c>
      <c r="K13" s="36" t="s">
        <v>203</v>
      </c>
      <c r="L13" s="43" t="s">
        <v>292</v>
      </c>
      <c r="M13" s="23" t="s">
        <v>11</v>
      </c>
      <c r="N13" s="23" t="s">
        <v>11</v>
      </c>
      <c r="O13" s="23" t="s">
        <v>11</v>
      </c>
      <c r="P13" s="23" t="s">
        <v>11</v>
      </c>
      <c r="Q13" s="23" t="s">
        <v>11</v>
      </c>
      <c r="R13" s="23" t="s">
        <v>11</v>
      </c>
      <c r="S13" s="23" t="s">
        <v>11</v>
      </c>
      <c r="T13" s="23" t="s">
        <v>11</v>
      </c>
      <c r="U13" s="23" t="s">
        <v>11</v>
      </c>
      <c r="V13" s="23" t="s">
        <v>11</v>
      </c>
      <c r="W13" s="23" t="s">
        <v>11</v>
      </c>
      <c r="X13" s="23" t="s">
        <v>11</v>
      </c>
      <c r="Y13" s="23" t="s">
        <v>11</v>
      </c>
      <c r="Z13" s="23" t="s">
        <v>11</v>
      </c>
      <c r="AA13" s="23" t="s">
        <v>11</v>
      </c>
      <c r="AB13" s="23" t="s">
        <v>11</v>
      </c>
      <c r="AC13" s="23" t="s">
        <v>11</v>
      </c>
      <c r="AD13" s="25"/>
      <c r="AE13" s="41" t="s">
        <v>290</v>
      </c>
      <c r="AF13" s="41" t="s">
        <v>290</v>
      </c>
      <c r="AG13" s="41" t="s">
        <v>290</v>
      </c>
      <c r="AH13" s="41" t="s">
        <v>290</v>
      </c>
      <c r="AI13" s="41" t="s">
        <v>290</v>
      </c>
      <c r="AJ13" s="26" t="s">
        <v>11</v>
      </c>
      <c r="AK13" s="26" t="s">
        <v>11</v>
      </c>
      <c r="AL13" s="26" t="s">
        <v>11</v>
      </c>
      <c r="AM13" s="26" t="s">
        <v>11</v>
      </c>
      <c r="AN13" s="26" t="s">
        <v>11</v>
      </c>
      <c r="AO13" s="26" t="s">
        <v>11</v>
      </c>
    </row>
    <row r="14" spans="1:41" ht="140" x14ac:dyDescent="0.35">
      <c r="B14" s="63" t="s">
        <v>60</v>
      </c>
      <c r="C14" s="21" t="s">
        <v>82</v>
      </c>
      <c r="D14" s="21" t="s">
        <v>21</v>
      </c>
      <c r="E14" s="21">
        <v>1</v>
      </c>
      <c r="F14" s="21" t="s">
        <v>244</v>
      </c>
      <c r="G14" s="21" t="s">
        <v>1</v>
      </c>
      <c r="H14" s="22" t="s">
        <v>76</v>
      </c>
      <c r="I14" s="22" t="s">
        <v>61</v>
      </c>
      <c r="J14" s="21">
        <v>5</v>
      </c>
      <c r="K14" s="36" t="s">
        <v>203</v>
      </c>
      <c r="L14" s="24" t="s">
        <v>11</v>
      </c>
      <c r="M14" s="24" t="s">
        <v>11</v>
      </c>
      <c r="N14" s="24" t="s">
        <v>11</v>
      </c>
      <c r="O14" s="24" t="s">
        <v>11</v>
      </c>
      <c r="P14" s="24" t="s">
        <v>11</v>
      </c>
      <c r="Q14" s="24" t="s">
        <v>11</v>
      </c>
      <c r="R14" s="43" t="s">
        <v>290</v>
      </c>
      <c r="S14" s="24" t="s">
        <v>11</v>
      </c>
      <c r="T14" s="43" t="s">
        <v>290</v>
      </c>
      <c r="U14" s="24" t="s">
        <v>11</v>
      </c>
      <c r="V14" s="24" t="s">
        <v>11</v>
      </c>
      <c r="W14" s="24" t="s">
        <v>11</v>
      </c>
      <c r="X14" s="24" t="s">
        <v>11</v>
      </c>
      <c r="Y14" s="24" t="s">
        <v>11</v>
      </c>
      <c r="Z14" s="23" t="s">
        <v>11</v>
      </c>
      <c r="AA14" s="23" t="s">
        <v>11</v>
      </c>
      <c r="AB14" s="23" t="s">
        <v>11</v>
      </c>
      <c r="AC14" s="23" t="s">
        <v>11</v>
      </c>
      <c r="AD14" s="25"/>
      <c r="AE14" s="26" t="s">
        <v>11</v>
      </c>
      <c r="AF14" s="26" t="s">
        <v>11</v>
      </c>
      <c r="AG14" s="41" t="s">
        <v>291</v>
      </c>
      <c r="AH14" s="26" t="s">
        <v>11</v>
      </c>
      <c r="AI14" s="26" t="s">
        <v>11</v>
      </c>
      <c r="AJ14" s="26" t="s">
        <v>11</v>
      </c>
      <c r="AK14" s="26" t="s">
        <v>11</v>
      </c>
      <c r="AL14" s="26" t="s">
        <v>11</v>
      </c>
      <c r="AM14" s="26" t="s">
        <v>11</v>
      </c>
      <c r="AN14" s="41" t="s">
        <v>291</v>
      </c>
      <c r="AO14" s="26" t="s">
        <v>11</v>
      </c>
    </row>
    <row r="15" spans="1:41" ht="140" x14ac:dyDescent="0.35">
      <c r="B15" s="63" t="s">
        <v>59</v>
      </c>
      <c r="C15" s="21" t="s">
        <v>30</v>
      </c>
      <c r="D15" s="21" t="s">
        <v>21</v>
      </c>
      <c r="E15" s="21">
        <v>1</v>
      </c>
      <c r="F15" s="21" t="s">
        <v>244</v>
      </c>
      <c r="G15" s="21" t="s">
        <v>1</v>
      </c>
      <c r="H15" s="22" t="s">
        <v>75</v>
      </c>
      <c r="I15" s="22" t="s">
        <v>369</v>
      </c>
      <c r="J15" s="21">
        <v>5</v>
      </c>
      <c r="K15" s="36" t="s">
        <v>203</v>
      </c>
      <c r="L15" s="24" t="s">
        <v>11</v>
      </c>
      <c r="M15" s="24" t="s">
        <v>11</v>
      </c>
      <c r="N15" s="24" t="s">
        <v>11</v>
      </c>
      <c r="O15" s="24" t="s">
        <v>11</v>
      </c>
      <c r="P15" s="24" t="s">
        <v>11</v>
      </c>
      <c r="Q15" s="24" t="s">
        <v>11</v>
      </c>
      <c r="R15" s="24" t="s">
        <v>11</v>
      </c>
      <c r="S15" s="24" t="s">
        <v>11</v>
      </c>
      <c r="T15" s="43" t="s">
        <v>290</v>
      </c>
      <c r="U15" s="24" t="s">
        <v>11</v>
      </c>
      <c r="V15" s="24" t="s">
        <v>11</v>
      </c>
      <c r="W15" s="24" t="s">
        <v>11</v>
      </c>
      <c r="X15" s="24" t="s">
        <v>11</v>
      </c>
      <c r="Y15" s="24" t="s">
        <v>11</v>
      </c>
      <c r="Z15" s="24" t="s">
        <v>11</v>
      </c>
      <c r="AA15" s="24" t="s">
        <v>11</v>
      </c>
      <c r="AB15" s="24" t="s">
        <v>11</v>
      </c>
      <c r="AC15" s="24" t="s">
        <v>11</v>
      </c>
      <c r="AD15" s="25"/>
      <c r="AE15" s="26" t="s">
        <v>11</v>
      </c>
      <c r="AF15" s="26" t="s">
        <v>11</v>
      </c>
      <c r="AG15" s="41" t="s">
        <v>291</v>
      </c>
      <c r="AH15" s="26" t="s">
        <v>11</v>
      </c>
      <c r="AI15" s="26" t="s">
        <v>11</v>
      </c>
      <c r="AJ15" s="26" t="s">
        <v>11</v>
      </c>
      <c r="AK15" s="26" t="s">
        <v>11</v>
      </c>
      <c r="AL15" s="26" t="s">
        <v>11</v>
      </c>
      <c r="AM15" s="26" t="s">
        <v>11</v>
      </c>
      <c r="AN15" s="41" t="s">
        <v>291</v>
      </c>
      <c r="AO15" s="26" t="s">
        <v>11</v>
      </c>
    </row>
    <row r="16" spans="1:41" ht="89" customHeight="1" x14ac:dyDescent="0.35">
      <c r="A16" s="57"/>
      <c r="B16" s="63" t="s">
        <v>64</v>
      </c>
      <c r="C16" s="21" t="s">
        <v>82</v>
      </c>
      <c r="D16" s="21" t="s">
        <v>21</v>
      </c>
      <c r="E16" s="21">
        <v>10</v>
      </c>
      <c r="F16" s="21" t="s">
        <v>245</v>
      </c>
      <c r="G16" s="21" t="s">
        <v>1</v>
      </c>
      <c r="H16" s="22" t="s">
        <v>78</v>
      </c>
      <c r="I16" s="22" t="s">
        <v>71</v>
      </c>
      <c r="J16" s="21">
        <v>2</v>
      </c>
      <c r="K16" s="36" t="s">
        <v>203</v>
      </c>
      <c r="L16" s="24" t="s">
        <v>11</v>
      </c>
      <c r="M16" s="24" t="s">
        <v>11</v>
      </c>
      <c r="N16" s="24" t="s">
        <v>11</v>
      </c>
      <c r="O16" s="24" t="s">
        <v>11</v>
      </c>
      <c r="P16" s="24" t="s">
        <v>11</v>
      </c>
      <c r="Q16" s="24" t="s">
        <v>11</v>
      </c>
      <c r="R16" s="24" t="s">
        <v>11</v>
      </c>
      <c r="S16" s="24" t="s">
        <v>11</v>
      </c>
      <c r="T16" s="43" t="s">
        <v>290</v>
      </c>
      <c r="U16" s="24" t="s">
        <v>11</v>
      </c>
      <c r="V16" s="24" t="s">
        <v>11</v>
      </c>
      <c r="W16" s="24" t="s">
        <v>11</v>
      </c>
      <c r="X16" s="24" t="s">
        <v>11</v>
      </c>
      <c r="Y16" s="24" t="s">
        <v>11</v>
      </c>
      <c r="Z16" s="24" t="s">
        <v>11</v>
      </c>
      <c r="AA16" s="24" t="s">
        <v>11</v>
      </c>
      <c r="AB16" s="24" t="s">
        <v>11</v>
      </c>
      <c r="AC16" s="23" t="s">
        <v>11</v>
      </c>
      <c r="AD16" s="25"/>
      <c r="AE16" s="26" t="s">
        <v>11</v>
      </c>
      <c r="AF16" s="26" t="s">
        <v>11</v>
      </c>
      <c r="AG16" s="26" t="s">
        <v>11</v>
      </c>
      <c r="AH16" s="26" t="s">
        <v>11</v>
      </c>
      <c r="AI16" s="26" t="s">
        <v>11</v>
      </c>
      <c r="AJ16" s="26" t="s">
        <v>11</v>
      </c>
      <c r="AK16" s="26" t="s">
        <v>11</v>
      </c>
      <c r="AL16" s="26" t="s">
        <v>11</v>
      </c>
      <c r="AM16" s="26" t="s">
        <v>11</v>
      </c>
      <c r="AN16" s="26" t="s">
        <v>11</v>
      </c>
      <c r="AO16" s="26" t="s">
        <v>11</v>
      </c>
    </row>
    <row r="17" spans="1:41" ht="70" x14ac:dyDescent="0.35">
      <c r="A17" s="58"/>
      <c r="B17" s="63" t="s">
        <v>62</v>
      </c>
      <c r="C17" s="21" t="s">
        <v>30</v>
      </c>
      <c r="D17" s="21" t="s">
        <v>21</v>
      </c>
      <c r="E17" s="21">
        <v>30</v>
      </c>
      <c r="F17" s="21" t="s">
        <v>245</v>
      </c>
      <c r="G17" s="21" t="s">
        <v>1</v>
      </c>
      <c r="H17" s="22" t="s">
        <v>77</v>
      </c>
      <c r="I17" s="22" t="s">
        <v>63</v>
      </c>
      <c r="J17" s="21">
        <v>2</v>
      </c>
      <c r="K17" s="36" t="s">
        <v>203</v>
      </c>
      <c r="L17" s="24" t="s">
        <v>11</v>
      </c>
      <c r="M17" s="24" t="s">
        <v>11</v>
      </c>
      <c r="N17" s="24" t="s">
        <v>11</v>
      </c>
      <c r="O17" s="24" t="s">
        <v>11</v>
      </c>
      <c r="P17" s="24" t="s">
        <v>11</v>
      </c>
      <c r="Q17" s="24" t="s">
        <v>11</v>
      </c>
      <c r="R17" s="24" t="s">
        <v>11</v>
      </c>
      <c r="S17" s="24" t="s">
        <v>11</v>
      </c>
      <c r="T17" s="43" t="s">
        <v>290</v>
      </c>
      <c r="U17" s="24" t="s">
        <v>11</v>
      </c>
      <c r="V17" s="24" t="s">
        <v>11</v>
      </c>
      <c r="W17" s="24" t="s">
        <v>11</v>
      </c>
      <c r="X17" s="24" t="s">
        <v>11</v>
      </c>
      <c r="Y17" s="24" t="s">
        <v>11</v>
      </c>
      <c r="Z17" s="24" t="s">
        <v>11</v>
      </c>
      <c r="AA17" s="24" t="s">
        <v>11</v>
      </c>
      <c r="AB17" s="24" t="s">
        <v>11</v>
      </c>
      <c r="AC17" s="24" t="s">
        <v>11</v>
      </c>
      <c r="AD17" s="25"/>
      <c r="AE17" s="26" t="s">
        <v>11</v>
      </c>
      <c r="AF17" s="26" t="s">
        <v>11</v>
      </c>
      <c r="AG17" s="26" t="s">
        <v>11</v>
      </c>
      <c r="AH17" s="26" t="s">
        <v>11</v>
      </c>
      <c r="AI17" s="26" t="s">
        <v>11</v>
      </c>
      <c r="AJ17" s="26" t="s">
        <v>11</v>
      </c>
      <c r="AK17" s="26" t="s">
        <v>11</v>
      </c>
      <c r="AL17" s="26" t="s">
        <v>11</v>
      </c>
      <c r="AM17" s="26" t="s">
        <v>11</v>
      </c>
      <c r="AN17" s="26" t="s">
        <v>11</v>
      </c>
      <c r="AO17" s="26" t="s">
        <v>11</v>
      </c>
    </row>
    <row r="18" spans="1:41" ht="70" x14ac:dyDescent="0.35">
      <c r="A18" s="22"/>
      <c r="B18" s="63" t="s">
        <v>68</v>
      </c>
      <c r="C18" s="21" t="s">
        <v>31</v>
      </c>
      <c r="D18" s="21" t="s">
        <v>24</v>
      </c>
      <c r="E18" s="21">
        <v>35</v>
      </c>
      <c r="F18" s="21" t="s">
        <v>246</v>
      </c>
      <c r="G18" s="21" t="s">
        <v>1</v>
      </c>
      <c r="H18" s="22" t="s">
        <v>79</v>
      </c>
      <c r="I18" s="22" t="s">
        <v>368</v>
      </c>
      <c r="J18" s="21">
        <v>3</v>
      </c>
      <c r="K18" s="36" t="s">
        <v>203</v>
      </c>
      <c r="L18" s="23" t="s">
        <v>11</v>
      </c>
      <c r="M18" s="23" t="s">
        <v>11</v>
      </c>
      <c r="N18" s="23" t="s">
        <v>11</v>
      </c>
      <c r="O18" s="23" t="s">
        <v>11</v>
      </c>
      <c r="P18" s="23" t="s">
        <v>11</v>
      </c>
      <c r="Q18" s="23" t="s">
        <v>11</v>
      </c>
      <c r="R18" s="23" t="s">
        <v>11</v>
      </c>
      <c r="S18" s="23" t="s">
        <v>11</v>
      </c>
      <c r="T18" s="43" t="s">
        <v>290</v>
      </c>
      <c r="U18" s="23" t="s">
        <v>11</v>
      </c>
      <c r="V18" s="23" t="s">
        <v>11</v>
      </c>
      <c r="W18" s="23" t="s">
        <v>11</v>
      </c>
      <c r="X18" s="23" t="s">
        <v>11</v>
      </c>
      <c r="Y18" s="23" t="s">
        <v>11</v>
      </c>
      <c r="Z18" s="23" t="s">
        <v>11</v>
      </c>
      <c r="AA18" s="23" t="s">
        <v>11</v>
      </c>
      <c r="AB18" s="23" t="s">
        <v>11</v>
      </c>
      <c r="AC18" s="23" t="s">
        <v>11</v>
      </c>
      <c r="AD18" s="25"/>
      <c r="AE18" s="26" t="s">
        <v>11</v>
      </c>
      <c r="AF18" s="26" t="s">
        <v>11</v>
      </c>
      <c r="AG18" s="26" t="s">
        <v>11</v>
      </c>
      <c r="AH18" s="26" t="s">
        <v>11</v>
      </c>
      <c r="AI18" s="26" t="s">
        <v>11</v>
      </c>
      <c r="AJ18" s="26" t="s">
        <v>11</v>
      </c>
      <c r="AK18" s="26" t="s">
        <v>11</v>
      </c>
      <c r="AL18" s="26" t="s">
        <v>11</v>
      </c>
      <c r="AM18" s="26" t="s">
        <v>11</v>
      </c>
      <c r="AN18" s="26" t="s">
        <v>11</v>
      </c>
      <c r="AO18" s="26" t="s">
        <v>11</v>
      </c>
    </row>
    <row r="19" spans="1:41" ht="70" x14ac:dyDescent="0.35">
      <c r="A19" s="21"/>
      <c r="B19" s="63" t="s">
        <v>69</v>
      </c>
      <c r="C19" s="21" t="s">
        <v>85</v>
      </c>
      <c r="D19" s="21" t="s">
        <v>24</v>
      </c>
      <c r="E19" s="61">
        <v>12</v>
      </c>
      <c r="F19" s="21" t="s">
        <v>246</v>
      </c>
      <c r="G19" s="21" t="s">
        <v>1</v>
      </c>
      <c r="H19" s="22" t="s">
        <v>80</v>
      </c>
      <c r="I19" s="22" t="s">
        <v>70</v>
      </c>
      <c r="J19" s="21">
        <v>3</v>
      </c>
      <c r="K19" s="36" t="s">
        <v>203</v>
      </c>
      <c r="L19" s="23" t="s">
        <v>11</v>
      </c>
      <c r="M19" s="23" t="s">
        <v>11</v>
      </c>
      <c r="N19" s="23" t="s">
        <v>11</v>
      </c>
      <c r="O19" s="23" t="s">
        <v>11</v>
      </c>
      <c r="P19" s="23" t="s">
        <v>11</v>
      </c>
      <c r="Q19" s="23" t="s">
        <v>11</v>
      </c>
      <c r="R19" s="23" t="s">
        <v>11</v>
      </c>
      <c r="S19" s="23" t="s">
        <v>11</v>
      </c>
      <c r="T19" s="43" t="s">
        <v>290</v>
      </c>
      <c r="U19" s="24" t="s">
        <v>11</v>
      </c>
      <c r="V19" s="24" t="s">
        <v>11</v>
      </c>
      <c r="W19" s="24" t="s">
        <v>11</v>
      </c>
      <c r="X19" s="24" t="s">
        <v>11</v>
      </c>
      <c r="Y19" s="24" t="s">
        <v>11</v>
      </c>
      <c r="Z19" s="23" t="s">
        <v>11</v>
      </c>
      <c r="AA19" s="23" t="s">
        <v>11</v>
      </c>
      <c r="AB19" s="23" t="s">
        <v>11</v>
      </c>
      <c r="AC19" s="23" t="s">
        <v>11</v>
      </c>
      <c r="AD19" s="25"/>
      <c r="AE19" s="26" t="s">
        <v>11</v>
      </c>
      <c r="AF19" s="26" t="s">
        <v>11</v>
      </c>
      <c r="AG19" s="41" t="s">
        <v>291</v>
      </c>
      <c r="AH19" s="26" t="s">
        <v>11</v>
      </c>
      <c r="AI19" s="26" t="s">
        <v>11</v>
      </c>
      <c r="AJ19" s="26" t="s">
        <v>11</v>
      </c>
      <c r="AK19" s="26" t="s">
        <v>11</v>
      </c>
      <c r="AL19" s="26" t="s">
        <v>11</v>
      </c>
      <c r="AM19" s="26" t="s">
        <v>11</v>
      </c>
      <c r="AN19" s="26" t="s">
        <v>11</v>
      </c>
      <c r="AO19" s="26" t="s">
        <v>11</v>
      </c>
    </row>
    <row r="20" spans="1:41" ht="100" x14ac:dyDescent="0.35">
      <c r="A20" s="22"/>
      <c r="B20" s="63" t="s">
        <v>65</v>
      </c>
      <c r="C20" s="21" t="s">
        <v>30</v>
      </c>
      <c r="D20" s="21" t="s">
        <v>21</v>
      </c>
      <c r="E20" s="21">
        <v>5</v>
      </c>
      <c r="F20" s="21" t="s">
        <v>247</v>
      </c>
      <c r="G20" s="21" t="s">
        <v>1</v>
      </c>
      <c r="H20" s="22" t="s">
        <v>366</v>
      </c>
      <c r="I20" s="22" t="s">
        <v>72</v>
      </c>
      <c r="J20" s="21">
        <v>3</v>
      </c>
      <c r="K20" s="36" t="s">
        <v>203</v>
      </c>
      <c r="L20" s="24" t="s">
        <v>11</v>
      </c>
      <c r="M20" s="24" t="s">
        <v>11</v>
      </c>
      <c r="N20" s="24" t="s">
        <v>11</v>
      </c>
      <c r="O20" s="24" t="s">
        <v>11</v>
      </c>
      <c r="P20" s="24" t="s">
        <v>11</v>
      </c>
      <c r="Q20" s="24" t="s">
        <v>11</v>
      </c>
      <c r="R20" s="24" t="s">
        <v>11</v>
      </c>
      <c r="S20" s="24" t="s">
        <v>11</v>
      </c>
      <c r="T20" s="24" t="s">
        <v>11</v>
      </c>
      <c r="U20" s="24" t="s">
        <v>11</v>
      </c>
      <c r="V20" s="24" t="s">
        <v>11</v>
      </c>
      <c r="W20" s="24" t="s">
        <v>11</v>
      </c>
      <c r="X20" s="24" t="s">
        <v>11</v>
      </c>
      <c r="Y20" s="24" t="s">
        <v>11</v>
      </c>
      <c r="Z20" s="23" t="s">
        <v>11</v>
      </c>
      <c r="AA20" s="23" t="s">
        <v>11</v>
      </c>
      <c r="AB20" s="23" t="s">
        <v>11</v>
      </c>
      <c r="AC20" s="23" t="s">
        <v>11</v>
      </c>
      <c r="AD20" s="25"/>
      <c r="AE20" s="26" t="s">
        <v>11</v>
      </c>
      <c r="AF20" s="26" t="s">
        <v>11</v>
      </c>
      <c r="AG20" s="26" t="s">
        <v>11</v>
      </c>
      <c r="AH20" s="26" t="s">
        <v>11</v>
      </c>
      <c r="AI20" s="26" t="s">
        <v>11</v>
      </c>
      <c r="AJ20" s="26" t="s">
        <v>11</v>
      </c>
      <c r="AK20" s="26" t="s">
        <v>11</v>
      </c>
      <c r="AL20" s="26" t="s">
        <v>11</v>
      </c>
      <c r="AM20" s="26" t="s">
        <v>11</v>
      </c>
      <c r="AN20" s="26" t="s">
        <v>11</v>
      </c>
      <c r="AO20" s="41" t="s">
        <v>290</v>
      </c>
    </row>
    <row r="21" spans="1:41" ht="140" x14ac:dyDescent="0.35">
      <c r="A21" s="22"/>
      <c r="B21" s="63" t="s">
        <v>42</v>
      </c>
      <c r="C21" s="21" t="s">
        <v>30</v>
      </c>
      <c r="D21" s="21" t="s">
        <v>21</v>
      </c>
      <c r="E21" s="21">
        <v>2</v>
      </c>
      <c r="F21" s="21" t="s">
        <v>244</v>
      </c>
      <c r="G21" s="21" t="s">
        <v>1</v>
      </c>
      <c r="H21" s="22" t="s">
        <v>73</v>
      </c>
      <c r="I21" s="22" t="s">
        <v>43</v>
      </c>
      <c r="J21" s="21">
        <v>5</v>
      </c>
      <c r="K21" s="36" t="s">
        <v>203</v>
      </c>
      <c r="L21" s="23" t="s">
        <v>11</v>
      </c>
      <c r="M21" s="23" t="s">
        <v>11</v>
      </c>
      <c r="N21" s="23" t="s">
        <v>11</v>
      </c>
      <c r="O21" s="23" t="s">
        <v>11</v>
      </c>
      <c r="P21" s="23" t="s">
        <v>11</v>
      </c>
      <c r="Q21" s="23" t="s">
        <v>11</v>
      </c>
      <c r="R21" s="23" t="s">
        <v>11</v>
      </c>
      <c r="S21" s="23" t="s">
        <v>11</v>
      </c>
      <c r="T21" s="23" t="s">
        <v>11</v>
      </c>
      <c r="U21" s="43" t="s">
        <v>290</v>
      </c>
      <c r="V21" s="43" t="s">
        <v>290</v>
      </c>
      <c r="W21" s="43" t="s">
        <v>290</v>
      </c>
      <c r="X21" s="43" t="s">
        <v>290</v>
      </c>
      <c r="Y21" s="43" t="s">
        <v>290</v>
      </c>
      <c r="Z21" s="23" t="s">
        <v>11</v>
      </c>
      <c r="AA21" s="23" t="s">
        <v>11</v>
      </c>
      <c r="AB21" s="23" t="s">
        <v>11</v>
      </c>
      <c r="AC21" s="23" t="s">
        <v>11</v>
      </c>
      <c r="AD21" s="25"/>
      <c r="AE21" s="26" t="s">
        <v>11</v>
      </c>
      <c r="AF21" s="26" t="s">
        <v>11</v>
      </c>
      <c r="AG21" s="26" t="s">
        <v>11</v>
      </c>
      <c r="AH21" s="26" t="s">
        <v>11</v>
      </c>
      <c r="AI21" s="26" t="s">
        <v>11</v>
      </c>
      <c r="AJ21" s="26" t="s">
        <v>11</v>
      </c>
      <c r="AK21" s="41" t="s">
        <v>291</v>
      </c>
      <c r="AL21" s="41" t="s">
        <v>291</v>
      </c>
      <c r="AM21" s="41" t="s">
        <v>291</v>
      </c>
      <c r="AN21" s="26" t="s">
        <v>11</v>
      </c>
      <c r="AO21" s="26" t="s">
        <v>11</v>
      </c>
    </row>
    <row r="22" spans="1:41" ht="110" x14ac:dyDescent="0.35">
      <c r="A22" s="22"/>
      <c r="B22" s="63" t="s">
        <v>52</v>
      </c>
      <c r="C22" s="21" t="s">
        <v>30</v>
      </c>
      <c r="D22" s="21" t="s">
        <v>367</v>
      </c>
      <c r="E22" s="21">
        <v>20</v>
      </c>
      <c r="F22" s="21" t="s">
        <v>248</v>
      </c>
      <c r="G22" s="21" t="s">
        <v>1</v>
      </c>
      <c r="H22" s="22" t="s">
        <v>74</v>
      </c>
      <c r="I22" s="22" t="s">
        <v>53</v>
      </c>
      <c r="J22" s="21">
        <v>1</v>
      </c>
      <c r="K22" s="36" t="s">
        <v>203</v>
      </c>
      <c r="L22" s="24" t="s">
        <v>11</v>
      </c>
      <c r="M22" s="24" t="s">
        <v>11</v>
      </c>
      <c r="N22" s="24" t="s">
        <v>11</v>
      </c>
      <c r="O22" s="24" t="s">
        <v>11</v>
      </c>
      <c r="P22" s="24" t="s">
        <v>11</v>
      </c>
      <c r="Q22" s="24" t="s">
        <v>11</v>
      </c>
      <c r="R22" s="24" t="s">
        <v>11</v>
      </c>
      <c r="S22" s="24" t="s">
        <v>11</v>
      </c>
      <c r="T22" s="24" t="s">
        <v>11</v>
      </c>
      <c r="U22" s="24" t="s">
        <v>11</v>
      </c>
      <c r="V22" s="43" t="s">
        <v>290</v>
      </c>
      <c r="W22" s="24" t="s">
        <v>11</v>
      </c>
      <c r="X22" s="24" t="s">
        <v>11</v>
      </c>
      <c r="Y22" s="24" t="s">
        <v>11</v>
      </c>
      <c r="Z22" s="43" t="s">
        <v>290</v>
      </c>
      <c r="AA22" s="43" t="s">
        <v>290</v>
      </c>
      <c r="AB22" s="23" t="s">
        <v>11</v>
      </c>
      <c r="AC22" s="23" t="s">
        <v>11</v>
      </c>
      <c r="AD22" s="25"/>
      <c r="AE22" s="26" t="s">
        <v>11</v>
      </c>
      <c r="AF22" s="26" t="s">
        <v>11</v>
      </c>
      <c r="AG22" s="26" t="s">
        <v>11</v>
      </c>
      <c r="AH22" s="26" t="s">
        <v>11</v>
      </c>
      <c r="AI22" s="26" t="s">
        <v>11</v>
      </c>
      <c r="AJ22" s="26" t="s">
        <v>11</v>
      </c>
      <c r="AK22" s="26" t="s">
        <v>11</v>
      </c>
      <c r="AL22" s="26" t="s">
        <v>11</v>
      </c>
      <c r="AM22" s="26" t="s">
        <v>11</v>
      </c>
      <c r="AN22" s="26" t="s">
        <v>11</v>
      </c>
      <c r="AO22" s="26" t="s">
        <v>11</v>
      </c>
    </row>
    <row r="23" spans="1:41" ht="70" x14ac:dyDescent="0.35">
      <c r="B23" s="63" t="s">
        <v>33</v>
      </c>
      <c r="C23" s="21" t="s">
        <v>30</v>
      </c>
      <c r="D23" s="21" t="s">
        <v>111</v>
      </c>
      <c r="E23" s="21">
        <v>4</v>
      </c>
      <c r="F23" s="21" t="s">
        <v>36</v>
      </c>
      <c r="G23" s="21" t="s">
        <v>1</v>
      </c>
      <c r="H23" s="22" t="s">
        <v>34</v>
      </c>
      <c r="I23" s="22" t="s">
        <v>13</v>
      </c>
      <c r="J23" s="21">
        <v>5</v>
      </c>
      <c r="K23" s="36" t="s">
        <v>203</v>
      </c>
      <c r="L23" s="23" t="s">
        <v>11</v>
      </c>
      <c r="M23" s="23" t="s">
        <v>11</v>
      </c>
      <c r="N23" s="23" t="s">
        <v>11</v>
      </c>
      <c r="O23" s="42" t="s">
        <v>292</v>
      </c>
      <c r="P23" s="23" t="s">
        <v>11</v>
      </c>
      <c r="Q23" s="23" t="s">
        <v>11</v>
      </c>
      <c r="R23" s="23" t="s">
        <v>11</v>
      </c>
      <c r="S23" s="23" t="s">
        <v>11</v>
      </c>
      <c r="T23" s="24" t="s">
        <v>11</v>
      </c>
      <c r="U23" s="24" t="s">
        <v>11</v>
      </c>
      <c r="V23" s="24" t="s">
        <v>11</v>
      </c>
      <c r="W23" s="24" t="s">
        <v>11</v>
      </c>
      <c r="X23" s="24" t="s">
        <v>11</v>
      </c>
      <c r="Y23" s="24" t="s">
        <v>11</v>
      </c>
      <c r="Z23" s="23" t="s">
        <v>11</v>
      </c>
      <c r="AA23" s="23" t="s">
        <v>11</v>
      </c>
      <c r="AB23" s="23" t="s">
        <v>11</v>
      </c>
      <c r="AC23" s="23" t="s">
        <v>11</v>
      </c>
      <c r="AD23" s="25"/>
      <c r="AE23" s="26" t="s">
        <v>11</v>
      </c>
      <c r="AF23" s="27" t="s">
        <v>11</v>
      </c>
      <c r="AG23" s="26" t="s">
        <v>11</v>
      </c>
      <c r="AH23" s="26" t="s">
        <v>11</v>
      </c>
      <c r="AI23" s="26" t="s">
        <v>11</v>
      </c>
      <c r="AJ23" s="26" t="s">
        <v>11</v>
      </c>
      <c r="AK23" s="26" t="s">
        <v>11</v>
      </c>
      <c r="AL23" s="26" t="s">
        <v>11</v>
      </c>
      <c r="AM23" s="26" t="s">
        <v>11</v>
      </c>
      <c r="AN23" s="26" t="s">
        <v>11</v>
      </c>
      <c r="AO23" s="26" t="s">
        <v>11</v>
      </c>
    </row>
    <row r="24" spans="1:41" ht="70" x14ac:dyDescent="0.35">
      <c r="B24" s="63" t="s">
        <v>17</v>
      </c>
      <c r="C24" s="21" t="s">
        <v>30</v>
      </c>
      <c r="D24" s="21" t="s">
        <v>21</v>
      </c>
      <c r="E24" s="21">
        <v>1</v>
      </c>
      <c r="F24" s="21" t="s">
        <v>249</v>
      </c>
      <c r="G24" s="21" t="s">
        <v>1</v>
      </c>
      <c r="H24" s="22" t="s">
        <v>22</v>
      </c>
      <c r="I24" s="22" t="s">
        <v>23</v>
      </c>
      <c r="J24" s="21">
        <v>5</v>
      </c>
      <c r="K24" s="36" t="s">
        <v>203</v>
      </c>
      <c r="L24" s="23" t="s">
        <v>11</v>
      </c>
      <c r="M24" s="23" t="s">
        <v>11</v>
      </c>
      <c r="N24" s="23" t="s">
        <v>11</v>
      </c>
      <c r="O24" s="23" t="s">
        <v>11</v>
      </c>
      <c r="P24" s="42" t="s">
        <v>290</v>
      </c>
      <c r="Q24" s="42" t="s">
        <v>290</v>
      </c>
      <c r="R24" s="42" t="s">
        <v>290</v>
      </c>
      <c r="S24" s="42" t="s">
        <v>290</v>
      </c>
      <c r="T24" s="24" t="s">
        <v>11</v>
      </c>
      <c r="U24" s="24" t="s">
        <v>11</v>
      </c>
      <c r="V24" s="24" t="s">
        <v>11</v>
      </c>
      <c r="W24" s="24" t="s">
        <v>11</v>
      </c>
      <c r="X24" s="24" t="s">
        <v>11</v>
      </c>
      <c r="Y24" s="24" t="s">
        <v>11</v>
      </c>
      <c r="Z24" s="23" t="s">
        <v>11</v>
      </c>
      <c r="AA24" s="23" t="s">
        <v>11</v>
      </c>
      <c r="AB24" s="23" t="s">
        <v>11</v>
      </c>
      <c r="AC24" s="23" t="s">
        <v>11</v>
      </c>
      <c r="AD24" s="25"/>
      <c r="AE24" s="41" t="s">
        <v>291</v>
      </c>
      <c r="AF24" s="26" t="s">
        <v>11</v>
      </c>
      <c r="AG24" s="41" t="s">
        <v>291</v>
      </c>
      <c r="AH24" s="41" t="s">
        <v>291</v>
      </c>
      <c r="AI24" s="26" t="s">
        <v>11</v>
      </c>
      <c r="AJ24" s="41" t="s">
        <v>291</v>
      </c>
      <c r="AK24" s="26" t="s">
        <v>11</v>
      </c>
      <c r="AL24" s="26" t="s">
        <v>11</v>
      </c>
      <c r="AM24" s="26" t="s">
        <v>11</v>
      </c>
      <c r="AN24" s="26" t="s">
        <v>11</v>
      </c>
      <c r="AO24" s="26" t="s">
        <v>11</v>
      </c>
    </row>
    <row r="25" spans="1:41" x14ac:dyDescent="0.35">
      <c r="E25" s="57">
        <f>SUM(E3:E24)</f>
        <v>153</v>
      </c>
    </row>
  </sheetData>
  <autoFilter ref="A2:AO25" xr:uid="{A7C1F66D-2DBF-4141-9060-E5D01F40CB0A}"/>
  <mergeCells count="3">
    <mergeCell ref="C1:D1"/>
    <mergeCell ref="B4:B5"/>
    <mergeCell ref="B6:B7"/>
  </mergeCells>
  <pageMargins left="0.7" right="0.7" top="0.75" bottom="0.75" header="0.3" footer="0.3"/>
  <pageSetup orientation="portrait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07C630-53D1-47C5-88A7-D1C20C9CCABF}">
  <dimension ref="B1:AI68"/>
  <sheetViews>
    <sheetView topLeftCell="A14" zoomScaleNormal="100" workbookViewId="0">
      <selection activeCell="O69" sqref="O69"/>
    </sheetView>
  </sheetViews>
  <sheetFormatPr defaultRowHeight="14.5" x14ac:dyDescent="0.35"/>
  <cols>
    <col min="2" max="2" width="11.7265625" customWidth="1"/>
    <col min="3" max="3" width="15.54296875" customWidth="1"/>
    <col min="10" max="10" width="13.36328125" customWidth="1"/>
    <col min="24" max="24" width="4.453125" customWidth="1"/>
  </cols>
  <sheetData>
    <row r="1" spans="2:35" x14ac:dyDescent="0.35">
      <c r="F1" s="16" t="s">
        <v>129</v>
      </c>
      <c r="G1" s="16"/>
      <c r="H1" s="16"/>
      <c r="I1" s="16"/>
      <c r="J1" s="16"/>
      <c r="K1" s="16"/>
      <c r="L1" s="16"/>
      <c r="M1" s="16"/>
      <c r="N1" s="16"/>
      <c r="O1" s="16"/>
      <c r="P1" s="16"/>
      <c r="Q1" s="16"/>
      <c r="R1" s="16"/>
      <c r="S1" s="16"/>
      <c r="T1" s="16"/>
      <c r="U1" s="16"/>
      <c r="V1" s="16"/>
      <c r="W1" s="16"/>
      <c r="Y1" s="17" t="s">
        <v>130</v>
      </c>
      <c r="Z1" s="18"/>
      <c r="AA1" s="18"/>
      <c r="AB1" s="18"/>
      <c r="AC1" s="18"/>
      <c r="AD1" s="18"/>
      <c r="AE1" s="19"/>
      <c r="AF1" s="19"/>
      <c r="AG1" s="19"/>
      <c r="AH1" s="19"/>
      <c r="AI1" s="19"/>
    </row>
    <row r="2" spans="2:35" ht="80" x14ac:dyDescent="0.35">
      <c r="B2" s="30" t="s">
        <v>2</v>
      </c>
      <c r="C2" s="30" t="s">
        <v>81</v>
      </c>
      <c r="D2" s="30" t="s">
        <v>27</v>
      </c>
      <c r="E2" s="30" t="s">
        <v>28</v>
      </c>
      <c r="F2" s="20" t="s">
        <v>15</v>
      </c>
      <c r="G2" s="20" t="s">
        <v>138</v>
      </c>
      <c r="H2" s="20" t="s">
        <v>14</v>
      </c>
      <c r="I2" s="20" t="s">
        <v>35</v>
      </c>
      <c r="J2" s="20" t="s">
        <v>38</v>
      </c>
      <c r="K2" s="20" t="s">
        <v>139</v>
      </c>
      <c r="L2" s="32" t="s">
        <v>40</v>
      </c>
      <c r="M2" s="32" t="s">
        <v>135</v>
      </c>
      <c r="N2" s="38" t="s">
        <v>194</v>
      </c>
      <c r="O2" s="20" t="s">
        <v>44</v>
      </c>
      <c r="P2" s="20" t="s">
        <v>45</v>
      </c>
      <c r="Q2" s="20" t="s">
        <v>46</v>
      </c>
      <c r="R2" s="20" t="s">
        <v>47</v>
      </c>
      <c r="S2" s="20" t="s">
        <v>48</v>
      </c>
      <c r="T2" s="20" t="s">
        <v>54</v>
      </c>
      <c r="U2" s="20" t="s">
        <v>86</v>
      </c>
      <c r="V2" s="20" t="s">
        <v>136</v>
      </c>
      <c r="W2" s="20" t="s">
        <v>137</v>
      </c>
      <c r="X2" s="33"/>
      <c r="Y2" s="20" t="s">
        <v>38</v>
      </c>
      <c r="Z2" s="32" t="s">
        <v>131</v>
      </c>
      <c r="AA2" s="20" t="s">
        <v>132</v>
      </c>
      <c r="AB2" s="20" t="s">
        <v>39</v>
      </c>
      <c r="AC2" s="20" t="s">
        <v>133</v>
      </c>
      <c r="AD2" s="32" t="s">
        <v>134</v>
      </c>
      <c r="AE2" s="20" t="s">
        <v>49</v>
      </c>
      <c r="AF2" s="20" t="s">
        <v>50</v>
      </c>
      <c r="AG2" s="20" t="s">
        <v>51</v>
      </c>
      <c r="AH2" s="38" t="s">
        <v>194</v>
      </c>
      <c r="AI2" s="34" t="s">
        <v>241</v>
      </c>
    </row>
    <row r="3" spans="2:35" x14ac:dyDescent="0.35">
      <c r="B3" s="21" t="s">
        <v>66</v>
      </c>
      <c r="C3" s="21" t="s">
        <v>83</v>
      </c>
      <c r="D3" s="21" t="s">
        <v>21</v>
      </c>
      <c r="E3" s="21">
        <v>5</v>
      </c>
      <c r="F3" s="24" t="s">
        <v>11</v>
      </c>
      <c r="G3" s="24" t="s">
        <v>11</v>
      </c>
      <c r="H3" s="24" t="s">
        <v>11</v>
      </c>
      <c r="I3" s="24" t="s">
        <v>11</v>
      </c>
      <c r="J3" s="24" t="s">
        <v>11</v>
      </c>
      <c r="K3" s="24" t="s">
        <v>11</v>
      </c>
      <c r="L3" s="42" t="s">
        <v>290</v>
      </c>
      <c r="M3" s="24" t="s">
        <v>11</v>
      </c>
      <c r="N3" s="24" t="s">
        <v>11</v>
      </c>
      <c r="O3" s="24" t="s">
        <v>11</v>
      </c>
      <c r="P3" s="24" t="s">
        <v>11</v>
      </c>
      <c r="Q3" s="24" t="s">
        <v>11</v>
      </c>
      <c r="R3" s="24" t="s">
        <v>11</v>
      </c>
      <c r="S3" s="24" t="s">
        <v>11</v>
      </c>
      <c r="T3" s="24" t="s">
        <v>11</v>
      </c>
      <c r="U3" s="24" t="s">
        <v>11</v>
      </c>
      <c r="V3" s="42" t="s">
        <v>290</v>
      </c>
      <c r="W3" s="42" t="s">
        <v>290</v>
      </c>
      <c r="X3" s="25"/>
      <c r="Y3" s="26" t="s">
        <v>11</v>
      </c>
      <c r="Z3" s="26" t="s">
        <v>11</v>
      </c>
      <c r="AA3" s="41" t="s">
        <v>291</v>
      </c>
      <c r="AB3" s="26" t="s">
        <v>11</v>
      </c>
      <c r="AC3" s="26" t="s">
        <v>11</v>
      </c>
      <c r="AD3" s="26" t="s">
        <v>11</v>
      </c>
      <c r="AE3" s="26" t="s">
        <v>11</v>
      </c>
      <c r="AF3" s="26" t="s">
        <v>11</v>
      </c>
      <c r="AG3" s="26" t="s">
        <v>11</v>
      </c>
      <c r="AH3" s="26" t="s">
        <v>11</v>
      </c>
      <c r="AI3" s="26" t="s">
        <v>11</v>
      </c>
    </row>
    <row r="4" spans="2:35" ht="30" x14ac:dyDescent="0.35">
      <c r="B4" s="21" t="s">
        <v>19</v>
      </c>
      <c r="C4" s="21" t="s">
        <v>31</v>
      </c>
      <c r="D4" s="21" t="s">
        <v>16</v>
      </c>
      <c r="E4" s="21">
        <v>8</v>
      </c>
      <c r="F4" s="24" t="s">
        <v>11</v>
      </c>
      <c r="G4" s="24" t="s">
        <v>11</v>
      </c>
      <c r="H4" s="24" t="s">
        <v>11</v>
      </c>
      <c r="I4" s="24" t="s">
        <v>11</v>
      </c>
      <c r="J4" s="24" t="s">
        <v>11</v>
      </c>
      <c r="K4" s="24" t="s">
        <v>11</v>
      </c>
      <c r="L4" s="24" t="s">
        <v>11</v>
      </c>
      <c r="M4" s="24" t="s">
        <v>11</v>
      </c>
      <c r="N4" s="43" t="s">
        <v>290</v>
      </c>
      <c r="O4" s="24" t="s">
        <v>11</v>
      </c>
      <c r="P4" s="24" t="s">
        <v>11</v>
      </c>
      <c r="Q4" s="24" t="s">
        <v>11</v>
      </c>
      <c r="R4" s="24" t="s">
        <v>11</v>
      </c>
      <c r="S4" s="24" t="s">
        <v>11</v>
      </c>
      <c r="T4" s="23" t="s">
        <v>11</v>
      </c>
      <c r="U4" s="23" t="s">
        <v>11</v>
      </c>
      <c r="V4" s="23" t="s">
        <v>11</v>
      </c>
      <c r="W4" s="23" t="s">
        <v>11</v>
      </c>
      <c r="X4" s="25"/>
      <c r="Y4" s="27" t="s">
        <v>11</v>
      </c>
      <c r="Z4" s="27" t="s">
        <v>11</v>
      </c>
      <c r="AA4" s="27" t="s">
        <v>11</v>
      </c>
      <c r="AB4" s="27" t="s">
        <v>11</v>
      </c>
      <c r="AC4" s="27" t="s">
        <v>11</v>
      </c>
      <c r="AD4" s="26" t="s">
        <v>11</v>
      </c>
      <c r="AE4" s="26" t="s">
        <v>11</v>
      </c>
      <c r="AF4" s="26" t="s">
        <v>11</v>
      </c>
      <c r="AG4" s="26" t="s">
        <v>11</v>
      </c>
      <c r="AH4" s="41" t="s">
        <v>291</v>
      </c>
      <c r="AI4" s="26" t="s">
        <v>11</v>
      </c>
    </row>
    <row r="5" spans="2:35" ht="30" x14ac:dyDescent="0.35">
      <c r="B5" s="21" t="s">
        <v>19</v>
      </c>
      <c r="C5" s="21" t="s">
        <v>31</v>
      </c>
      <c r="D5" s="21" t="s">
        <v>24</v>
      </c>
      <c r="E5" s="21">
        <v>8</v>
      </c>
      <c r="F5" s="24" t="s">
        <v>11</v>
      </c>
      <c r="G5" s="24" t="s">
        <v>11</v>
      </c>
      <c r="H5" s="24" t="s">
        <v>11</v>
      </c>
      <c r="I5" s="24" t="s">
        <v>11</v>
      </c>
      <c r="J5" s="24" t="s">
        <v>11</v>
      </c>
      <c r="K5" s="24" t="s">
        <v>11</v>
      </c>
      <c r="L5" s="24" t="s">
        <v>11</v>
      </c>
      <c r="M5" s="24" t="s">
        <v>11</v>
      </c>
      <c r="N5" s="43" t="s">
        <v>290</v>
      </c>
      <c r="O5" s="24" t="s">
        <v>11</v>
      </c>
      <c r="P5" s="24" t="s">
        <v>11</v>
      </c>
      <c r="Q5" s="24" t="s">
        <v>11</v>
      </c>
      <c r="R5" s="24" t="s">
        <v>11</v>
      </c>
      <c r="S5" s="24" t="s">
        <v>11</v>
      </c>
      <c r="T5" s="23" t="s">
        <v>11</v>
      </c>
      <c r="U5" s="23" t="s">
        <v>11</v>
      </c>
      <c r="V5" s="23" t="s">
        <v>11</v>
      </c>
      <c r="W5" s="23" t="s">
        <v>11</v>
      </c>
      <c r="X5" s="25"/>
      <c r="Y5" s="27" t="s">
        <v>11</v>
      </c>
      <c r="Z5" s="27" t="s">
        <v>11</v>
      </c>
      <c r="AA5" s="27" t="s">
        <v>11</v>
      </c>
      <c r="AB5" s="27" t="s">
        <v>11</v>
      </c>
      <c r="AC5" s="27" t="s">
        <v>11</v>
      </c>
      <c r="AD5" s="26" t="s">
        <v>11</v>
      </c>
      <c r="AE5" s="26" t="s">
        <v>11</v>
      </c>
      <c r="AF5" s="26" t="s">
        <v>11</v>
      </c>
      <c r="AG5" s="26" t="s">
        <v>11</v>
      </c>
      <c r="AH5" s="41" t="s">
        <v>291</v>
      </c>
      <c r="AI5" s="26" t="s">
        <v>11</v>
      </c>
    </row>
    <row r="6" spans="2:35" ht="20" x14ac:dyDescent="0.35">
      <c r="B6" s="21" t="s">
        <v>18</v>
      </c>
      <c r="C6" s="21" t="s">
        <v>30</v>
      </c>
      <c r="D6" s="21" t="s">
        <v>16</v>
      </c>
      <c r="E6" s="21">
        <v>1</v>
      </c>
      <c r="F6" s="23" t="s">
        <v>11</v>
      </c>
      <c r="G6" s="23" t="s">
        <v>11</v>
      </c>
      <c r="H6" s="23" t="s">
        <v>11</v>
      </c>
      <c r="I6" s="23" t="s">
        <v>11</v>
      </c>
      <c r="J6" s="23" t="s">
        <v>11</v>
      </c>
      <c r="K6" s="23" t="s">
        <v>11</v>
      </c>
      <c r="L6" s="23" t="s">
        <v>11</v>
      </c>
      <c r="M6" s="23" t="s">
        <v>11</v>
      </c>
      <c r="N6" s="43" t="s">
        <v>290</v>
      </c>
      <c r="O6" s="24" t="s">
        <v>11</v>
      </c>
      <c r="P6" s="24" t="s">
        <v>11</v>
      </c>
      <c r="Q6" s="24" t="s">
        <v>11</v>
      </c>
      <c r="R6" s="24" t="s">
        <v>11</v>
      </c>
      <c r="S6" s="24" t="s">
        <v>11</v>
      </c>
      <c r="T6" s="23" t="s">
        <v>11</v>
      </c>
      <c r="U6" s="23" t="s">
        <v>11</v>
      </c>
      <c r="V6" s="23" t="s">
        <v>11</v>
      </c>
      <c r="W6" s="23" t="s">
        <v>11</v>
      </c>
      <c r="X6" s="25"/>
      <c r="Y6" s="26" t="s">
        <v>11</v>
      </c>
      <c r="Z6" s="27" t="s">
        <v>11</v>
      </c>
      <c r="AA6" s="41" t="s">
        <v>291</v>
      </c>
      <c r="AB6" s="41" t="s">
        <v>291</v>
      </c>
      <c r="AC6" s="26" t="s">
        <v>11</v>
      </c>
      <c r="AD6" s="26" t="s">
        <v>11</v>
      </c>
      <c r="AE6" s="26" t="s">
        <v>11</v>
      </c>
      <c r="AF6" s="26" t="s">
        <v>11</v>
      </c>
      <c r="AG6" s="26" t="s">
        <v>11</v>
      </c>
      <c r="AH6" s="26" t="s">
        <v>11</v>
      </c>
      <c r="AI6" s="26" t="s">
        <v>11</v>
      </c>
    </row>
    <row r="7" spans="2:35" x14ac:dyDescent="0.35">
      <c r="B7" s="21" t="s">
        <v>18</v>
      </c>
      <c r="C7" s="21" t="s">
        <v>30</v>
      </c>
      <c r="D7" s="21" t="s">
        <v>21</v>
      </c>
      <c r="E7" s="21">
        <v>1</v>
      </c>
      <c r="F7" s="23" t="s">
        <v>11</v>
      </c>
      <c r="G7" s="23" t="s">
        <v>11</v>
      </c>
      <c r="H7" s="23" t="s">
        <v>11</v>
      </c>
      <c r="I7" s="23" t="s">
        <v>11</v>
      </c>
      <c r="J7" s="23" t="s">
        <v>11</v>
      </c>
      <c r="K7" s="23" t="s">
        <v>11</v>
      </c>
      <c r="L7" s="23" t="s">
        <v>11</v>
      </c>
      <c r="M7" s="23" t="s">
        <v>11</v>
      </c>
      <c r="N7" s="43" t="s">
        <v>290</v>
      </c>
      <c r="O7" s="24" t="s">
        <v>11</v>
      </c>
      <c r="P7" s="24" t="s">
        <v>11</v>
      </c>
      <c r="Q7" s="24" t="s">
        <v>11</v>
      </c>
      <c r="R7" s="24" t="s">
        <v>11</v>
      </c>
      <c r="S7" s="24" t="s">
        <v>11</v>
      </c>
      <c r="T7" s="23" t="s">
        <v>11</v>
      </c>
      <c r="U7" s="23" t="s">
        <v>11</v>
      </c>
      <c r="V7" s="23" t="s">
        <v>11</v>
      </c>
      <c r="W7" s="23" t="s">
        <v>11</v>
      </c>
      <c r="X7" s="25"/>
      <c r="Y7" s="26" t="s">
        <v>11</v>
      </c>
      <c r="Z7" s="27" t="s">
        <v>11</v>
      </c>
      <c r="AA7" s="41" t="s">
        <v>291</v>
      </c>
      <c r="AB7" s="41" t="s">
        <v>291</v>
      </c>
      <c r="AC7" s="26" t="s">
        <v>11</v>
      </c>
      <c r="AD7" s="26" t="s">
        <v>11</v>
      </c>
      <c r="AE7" s="26" t="s">
        <v>11</v>
      </c>
      <c r="AF7" s="26" t="s">
        <v>11</v>
      </c>
      <c r="AG7" s="26" t="s">
        <v>11</v>
      </c>
      <c r="AH7" s="26" t="s">
        <v>11</v>
      </c>
      <c r="AI7" s="26" t="s">
        <v>11</v>
      </c>
    </row>
    <row r="8" spans="2:35" ht="20" x14ac:dyDescent="0.35">
      <c r="B8" s="21" t="s">
        <v>55</v>
      </c>
      <c r="C8" s="21" t="s">
        <v>82</v>
      </c>
      <c r="D8" s="21" t="s">
        <v>21</v>
      </c>
      <c r="E8" s="21">
        <v>2</v>
      </c>
      <c r="F8" s="23" t="s">
        <v>11</v>
      </c>
      <c r="G8" s="23" t="s">
        <v>11</v>
      </c>
      <c r="H8" s="23" t="s">
        <v>11</v>
      </c>
      <c r="I8" s="23" t="s">
        <v>11</v>
      </c>
      <c r="J8" s="23" t="s">
        <v>11</v>
      </c>
      <c r="K8" s="23" t="s">
        <v>11</v>
      </c>
      <c r="L8" s="23" t="s">
        <v>11</v>
      </c>
      <c r="M8" s="23" t="s">
        <v>11</v>
      </c>
      <c r="N8" s="43" t="s">
        <v>290</v>
      </c>
      <c r="O8" s="24" t="s">
        <v>11</v>
      </c>
      <c r="P8" s="24" t="s">
        <v>11</v>
      </c>
      <c r="Q8" s="24" t="s">
        <v>11</v>
      </c>
      <c r="R8" s="24" t="s">
        <v>11</v>
      </c>
      <c r="S8" s="24" t="s">
        <v>11</v>
      </c>
      <c r="T8" s="23" t="s">
        <v>11</v>
      </c>
      <c r="U8" s="23" t="s">
        <v>11</v>
      </c>
      <c r="V8" s="23" t="s">
        <v>11</v>
      </c>
      <c r="W8" s="23" t="s">
        <v>11</v>
      </c>
      <c r="X8" s="25"/>
      <c r="Y8" s="26" t="s">
        <v>11</v>
      </c>
      <c r="Z8" s="26" t="s">
        <v>11</v>
      </c>
      <c r="AA8" s="26" t="s">
        <v>11</v>
      </c>
      <c r="AB8" s="26" t="s">
        <v>11</v>
      </c>
      <c r="AC8" s="26" t="s">
        <v>11</v>
      </c>
      <c r="AD8" s="26" t="s">
        <v>11</v>
      </c>
      <c r="AE8" s="26" t="s">
        <v>11</v>
      </c>
      <c r="AF8" s="26" t="s">
        <v>11</v>
      </c>
      <c r="AG8" s="26" t="s">
        <v>11</v>
      </c>
      <c r="AH8" s="41" t="s">
        <v>291</v>
      </c>
      <c r="AI8" s="26" t="s">
        <v>11</v>
      </c>
    </row>
    <row r="9" spans="2:35" ht="20" x14ac:dyDescent="0.35">
      <c r="B9" s="21" t="s">
        <v>57</v>
      </c>
      <c r="C9" s="21" t="s">
        <v>82</v>
      </c>
      <c r="D9" s="21" t="s">
        <v>21</v>
      </c>
      <c r="E9" s="21">
        <v>2</v>
      </c>
      <c r="F9" s="23" t="s">
        <v>11</v>
      </c>
      <c r="G9" s="23" t="s">
        <v>11</v>
      </c>
      <c r="H9" s="23" t="s">
        <v>11</v>
      </c>
      <c r="I9" s="23" t="s">
        <v>11</v>
      </c>
      <c r="J9" s="23" t="s">
        <v>11</v>
      </c>
      <c r="K9" s="23" t="s">
        <v>11</v>
      </c>
      <c r="L9" s="23" t="s">
        <v>11</v>
      </c>
      <c r="M9" s="23" t="s">
        <v>11</v>
      </c>
      <c r="N9" s="43" t="s">
        <v>290</v>
      </c>
      <c r="O9" s="24" t="s">
        <v>11</v>
      </c>
      <c r="P9" s="24" t="s">
        <v>11</v>
      </c>
      <c r="Q9" s="24" t="s">
        <v>11</v>
      </c>
      <c r="R9" s="24" t="s">
        <v>11</v>
      </c>
      <c r="S9" s="24" t="s">
        <v>11</v>
      </c>
      <c r="T9" s="23" t="s">
        <v>11</v>
      </c>
      <c r="U9" s="23" t="s">
        <v>11</v>
      </c>
      <c r="V9" s="23" t="s">
        <v>11</v>
      </c>
      <c r="W9" s="23" t="s">
        <v>11</v>
      </c>
      <c r="X9" s="25"/>
      <c r="Y9" s="26" t="s">
        <v>11</v>
      </c>
      <c r="Z9" s="26" t="s">
        <v>11</v>
      </c>
      <c r="AA9" s="26" t="s">
        <v>11</v>
      </c>
      <c r="AB9" s="26" t="s">
        <v>11</v>
      </c>
      <c r="AC9" s="26" t="s">
        <v>11</v>
      </c>
      <c r="AD9" s="26" t="s">
        <v>11</v>
      </c>
      <c r="AE9" s="26" t="s">
        <v>11</v>
      </c>
      <c r="AF9" s="26" t="s">
        <v>11</v>
      </c>
      <c r="AG9" s="26" t="s">
        <v>11</v>
      </c>
      <c r="AH9" s="41" t="s">
        <v>291</v>
      </c>
      <c r="AI9" s="26" t="s">
        <v>11</v>
      </c>
    </row>
    <row r="10" spans="2:35" ht="20" x14ac:dyDescent="0.35">
      <c r="B10" s="21" t="s">
        <v>5</v>
      </c>
      <c r="C10" s="21" t="s">
        <v>30</v>
      </c>
      <c r="D10" s="21" t="s">
        <v>111</v>
      </c>
      <c r="E10" s="21">
        <v>2</v>
      </c>
      <c r="F10" s="43" t="s">
        <v>290</v>
      </c>
      <c r="G10" s="43" t="s">
        <v>290</v>
      </c>
      <c r="H10" s="23" t="s">
        <v>11</v>
      </c>
      <c r="I10" s="23" t="s">
        <v>11</v>
      </c>
      <c r="J10" s="23" t="s">
        <v>11</v>
      </c>
      <c r="K10" s="23" t="s">
        <v>11</v>
      </c>
      <c r="L10" s="23" t="s">
        <v>11</v>
      </c>
      <c r="M10" s="23" t="s">
        <v>11</v>
      </c>
      <c r="N10" s="23" t="s">
        <v>11</v>
      </c>
      <c r="O10" s="23" t="s">
        <v>11</v>
      </c>
      <c r="P10" s="23" t="s">
        <v>11</v>
      </c>
      <c r="Q10" s="23" t="s">
        <v>11</v>
      </c>
      <c r="R10" s="23" t="s">
        <v>11</v>
      </c>
      <c r="S10" s="23" t="s">
        <v>11</v>
      </c>
      <c r="T10" s="23" t="s">
        <v>11</v>
      </c>
      <c r="U10" s="23" t="s">
        <v>11</v>
      </c>
      <c r="V10" s="23" t="s">
        <v>11</v>
      </c>
      <c r="W10" s="23" t="s">
        <v>11</v>
      </c>
      <c r="X10" s="25"/>
      <c r="Y10" s="41" t="s">
        <v>291</v>
      </c>
      <c r="Z10" s="27" t="s">
        <v>11</v>
      </c>
      <c r="AA10" s="41" t="s">
        <v>290</v>
      </c>
      <c r="AB10" s="41" t="s">
        <v>290</v>
      </c>
      <c r="AC10" s="41" t="s">
        <v>290</v>
      </c>
      <c r="AD10" s="26" t="s">
        <v>11</v>
      </c>
      <c r="AE10" s="26" t="s">
        <v>11</v>
      </c>
      <c r="AF10" s="26" t="s">
        <v>11</v>
      </c>
      <c r="AG10" s="26" t="s">
        <v>11</v>
      </c>
      <c r="AH10" s="26" t="s">
        <v>11</v>
      </c>
      <c r="AI10" s="26" t="s">
        <v>11</v>
      </c>
    </row>
    <row r="11" spans="2:35" ht="30" x14ac:dyDescent="0.35">
      <c r="B11" s="21" t="s">
        <v>6</v>
      </c>
      <c r="C11" s="21" t="s">
        <v>31</v>
      </c>
      <c r="D11" s="21" t="s">
        <v>111</v>
      </c>
      <c r="E11" s="21">
        <v>1</v>
      </c>
      <c r="F11" s="43" t="s">
        <v>290</v>
      </c>
      <c r="G11" s="43" t="s">
        <v>290</v>
      </c>
      <c r="H11" s="23" t="s">
        <v>11</v>
      </c>
      <c r="I11" s="23" t="s">
        <v>11</v>
      </c>
      <c r="J11" s="23" t="s">
        <v>11</v>
      </c>
      <c r="K11" s="23" t="s">
        <v>11</v>
      </c>
      <c r="L11" s="23" t="s">
        <v>11</v>
      </c>
      <c r="M11" s="23" t="s">
        <v>11</v>
      </c>
      <c r="N11" s="23" t="s">
        <v>11</v>
      </c>
      <c r="O11" s="23" t="s">
        <v>11</v>
      </c>
      <c r="P11" s="23" t="s">
        <v>11</v>
      </c>
      <c r="Q11" s="23" t="s">
        <v>11</v>
      </c>
      <c r="R11" s="23" t="s">
        <v>11</v>
      </c>
      <c r="S11" s="23" t="s">
        <v>11</v>
      </c>
      <c r="T11" s="23" t="s">
        <v>11</v>
      </c>
      <c r="U11" s="23" t="s">
        <v>11</v>
      </c>
      <c r="V11" s="23" t="s">
        <v>11</v>
      </c>
      <c r="W11" s="23" t="s">
        <v>11</v>
      </c>
      <c r="X11" s="25"/>
      <c r="Y11" s="27" t="s">
        <v>11</v>
      </c>
      <c r="Z11" s="27" t="s">
        <v>11</v>
      </c>
      <c r="AA11" s="27" t="s">
        <v>11</v>
      </c>
      <c r="AB11" s="41" t="s">
        <v>290</v>
      </c>
      <c r="AC11" s="26" t="s">
        <v>11</v>
      </c>
      <c r="AD11" s="27" t="s">
        <v>11</v>
      </c>
      <c r="AE11" s="26" t="s">
        <v>11</v>
      </c>
      <c r="AF11" s="26" t="s">
        <v>11</v>
      </c>
      <c r="AG11" s="26" t="s">
        <v>11</v>
      </c>
      <c r="AH11" s="26" t="s">
        <v>11</v>
      </c>
      <c r="AI11" s="26" t="s">
        <v>11</v>
      </c>
    </row>
    <row r="12" spans="2:35" ht="30" x14ac:dyDescent="0.35">
      <c r="B12" s="21" t="s">
        <v>8</v>
      </c>
      <c r="C12" s="21" t="s">
        <v>30</v>
      </c>
      <c r="D12" s="21" t="s">
        <v>111</v>
      </c>
      <c r="E12" s="21">
        <v>1</v>
      </c>
      <c r="F12" s="23" t="s">
        <v>11</v>
      </c>
      <c r="G12" s="23" t="s">
        <v>11</v>
      </c>
      <c r="H12" s="43" t="s">
        <v>292</v>
      </c>
      <c r="I12" s="23" t="s">
        <v>11</v>
      </c>
      <c r="J12" s="23" t="s">
        <v>11</v>
      </c>
      <c r="K12" s="23" t="s">
        <v>11</v>
      </c>
      <c r="L12" s="23" t="s">
        <v>11</v>
      </c>
      <c r="M12" s="23" t="s">
        <v>11</v>
      </c>
      <c r="N12" s="24" t="s">
        <v>11</v>
      </c>
      <c r="O12" s="24" t="s">
        <v>11</v>
      </c>
      <c r="P12" s="24" t="s">
        <v>11</v>
      </c>
      <c r="Q12" s="24" t="s">
        <v>11</v>
      </c>
      <c r="R12" s="24" t="s">
        <v>11</v>
      </c>
      <c r="S12" s="24" t="s">
        <v>11</v>
      </c>
      <c r="T12" s="23" t="s">
        <v>11</v>
      </c>
      <c r="U12" s="23" t="s">
        <v>11</v>
      </c>
      <c r="V12" s="23" t="s">
        <v>11</v>
      </c>
      <c r="W12" s="23" t="s">
        <v>11</v>
      </c>
      <c r="X12" s="25"/>
      <c r="Y12" s="26" t="s">
        <v>11</v>
      </c>
      <c r="Z12" s="27" t="s">
        <v>11</v>
      </c>
      <c r="AA12" s="26" t="s">
        <v>11</v>
      </c>
      <c r="AB12" s="26" t="s">
        <v>11</v>
      </c>
      <c r="AC12" s="26" t="s">
        <v>11</v>
      </c>
      <c r="AD12" s="26" t="s">
        <v>11</v>
      </c>
      <c r="AE12" s="26" t="s">
        <v>11</v>
      </c>
      <c r="AF12" s="26" t="s">
        <v>11</v>
      </c>
      <c r="AG12" s="26" t="s">
        <v>11</v>
      </c>
      <c r="AH12" s="26" t="s">
        <v>11</v>
      </c>
      <c r="AI12" s="26" t="s">
        <v>11</v>
      </c>
    </row>
    <row r="13" spans="2:35" ht="20" x14ac:dyDescent="0.35">
      <c r="B13" s="21" t="s">
        <v>0</v>
      </c>
      <c r="C13" s="21" t="s">
        <v>32</v>
      </c>
      <c r="D13" s="21" t="s">
        <v>111</v>
      </c>
      <c r="E13" s="21">
        <v>1</v>
      </c>
      <c r="F13" s="43" t="s">
        <v>292</v>
      </c>
      <c r="G13" s="23" t="s">
        <v>11</v>
      </c>
      <c r="H13" s="23" t="s">
        <v>11</v>
      </c>
      <c r="I13" s="23" t="s">
        <v>11</v>
      </c>
      <c r="J13" s="23" t="s">
        <v>11</v>
      </c>
      <c r="K13" s="23" t="s">
        <v>11</v>
      </c>
      <c r="L13" s="23" t="s">
        <v>11</v>
      </c>
      <c r="M13" s="23" t="s">
        <v>11</v>
      </c>
      <c r="N13" s="23" t="s">
        <v>11</v>
      </c>
      <c r="O13" s="23" t="s">
        <v>11</v>
      </c>
      <c r="P13" s="23" t="s">
        <v>11</v>
      </c>
      <c r="Q13" s="23" t="s">
        <v>11</v>
      </c>
      <c r="R13" s="23" t="s">
        <v>11</v>
      </c>
      <c r="S13" s="23" t="s">
        <v>11</v>
      </c>
      <c r="T13" s="23" t="s">
        <v>11</v>
      </c>
      <c r="U13" s="23" t="s">
        <v>11</v>
      </c>
      <c r="V13" s="23" t="s">
        <v>11</v>
      </c>
      <c r="W13" s="23" t="s">
        <v>11</v>
      </c>
      <c r="X13" s="25"/>
      <c r="Y13" s="41" t="s">
        <v>290</v>
      </c>
      <c r="Z13" s="41" t="s">
        <v>290</v>
      </c>
      <c r="AA13" s="41" t="s">
        <v>290</v>
      </c>
      <c r="AB13" s="41" t="s">
        <v>290</v>
      </c>
      <c r="AC13" s="41" t="s">
        <v>290</v>
      </c>
      <c r="AD13" s="26" t="s">
        <v>11</v>
      </c>
      <c r="AE13" s="26" t="s">
        <v>11</v>
      </c>
      <c r="AF13" s="26" t="s">
        <v>11</v>
      </c>
      <c r="AG13" s="26" t="s">
        <v>11</v>
      </c>
      <c r="AH13" s="26" t="s">
        <v>11</v>
      </c>
      <c r="AI13" s="26" t="s">
        <v>11</v>
      </c>
    </row>
    <row r="14" spans="2:35" ht="20" x14ac:dyDescent="0.35">
      <c r="B14" s="21" t="s">
        <v>60</v>
      </c>
      <c r="C14" s="21" t="s">
        <v>82</v>
      </c>
      <c r="D14" s="21" t="s">
        <v>21</v>
      </c>
      <c r="E14" s="21">
        <v>1</v>
      </c>
      <c r="F14" s="24" t="s">
        <v>11</v>
      </c>
      <c r="G14" s="24" t="s">
        <v>11</v>
      </c>
      <c r="H14" s="24" t="s">
        <v>11</v>
      </c>
      <c r="I14" s="24" t="s">
        <v>11</v>
      </c>
      <c r="J14" s="24" t="s">
        <v>11</v>
      </c>
      <c r="K14" s="24" t="s">
        <v>11</v>
      </c>
      <c r="L14" s="43" t="s">
        <v>290</v>
      </c>
      <c r="M14" s="24" t="s">
        <v>11</v>
      </c>
      <c r="N14" s="43" t="s">
        <v>290</v>
      </c>
      <c r="O14" s="24" t="s">
        <v>11</v>
      </c>
      <c r="P14" s="24" t="s">
        <v>11</v>
      </c>
      <c r="Q14" s="24" t="s">
        <v>11</v>
      </c>
      <c r="R14" s="24" t="s">
        <v>11</v>
      </c>
      <c r="S14" s="24" t="s">
        <v>11</v>
      </c>
      <c r="T14" s="23" t="s">
        <v>11</v>
      </c>
      <c r="U14" s="23" t="s">
        <v>11</v>
      </c>
      <c r="V14" s="23" t="s">
        <v>11</v>
      </c>
      <c r="W14" s="23" t="s">
        <v>11</v>
      </c>
      <c r="X14" s="25"/>
      <c r="Y14" s="26" t="s">
        <v>11</v>
      </c>
      <c r="Z14" s="26" t="s">
        <v>11</v>
      </c>
      <c r="AA14" s="41" t="s">
        <v>291</v>
      </c>
      <c r="AB14" s="26" t="s">
        <v>11</v>
      </c>
      <c r="AC14" s="26" t="s">
        <v>11</v>
      </c>
      <c r="AD14" s="26" t="s">
        <v>11</v>
      </c>
      <c r="AE14" s="26" t="s">
        <v>11</v>
      </c>
      <c r="AF14" s="26" t="s">
        <v>11</v>
      </c>
      <c r="AG14" s="26" t="s">
        <v>11</v>
      </c>
      <c r="AH14" s="41" t="s">
        <v>291</v>
      </c>
      <c r="AI14" s="26" t="s">
        <v>11</v>
      </c>
    </row>
    <row r="15" spans="2:35" ht="20" x14ac:dyDescent="0.35">
      <c r="B15" s="21" t="s">
        <v>59</v>
      </c>
      <c r="C15" s="21" t="s">
        <v>30</v>
      </c>
      <c r="D15" s="21" t="s">
        <v>21</v>
      </c>
      <c r="E15" s="21">
        <v>1</v>
      </c>
      <c r="F15" s="24" t="s">
        <v>11</v>
      </c>
      <c r="G15" s="24" t="s">
        <v>11</v>
      </c>
      <c r="H15" s="24" t="s">
        <v>11</v>
      </c>
      <c r="I15" s="24" t="s">
        <v>11</v>
      </c>
      <c r="J15" s="24" t="s">
        <v>11</v>
      </c>
      <c r="K15" s="24" t="s">
        <v>11</v>
      </c>
      <c r="L15" s="24" t="s">
        <v>11</v>
      </c>
      <c r="M15" s="24" t="s">
        <v>11</v>
      </c>
      <c r="N15" s="43" t="s">
        <v>290</v>
      </c>
      <c r="O15" s="24" t="s">
        <v>11</v>
      </c>
      <c r="P15" s="24" t="s">
        <v>11</v>
      </c>
      <c r="Q15" s="24" t="s">
        <v>11</v>
      </c>
      <c r="R15" s="24" t="s">
        <v>11</v>
      </c>
      <c r="S15" s="24" t="s">
        <v>11</v>
      </c>
      <c r="T15" s="24" t="s">
        <v>11</v>
      </c>
      <c r="U15" s="24" t="s">
        <v>11</v>
      </c>
      <c r="V15" s="24" t="s">
        <v>11</v>
      </c>
      <c r="W15" s="24" t="s">
        <v>11</v>
      </c>
      <c r="X15" s="25"/>
      <c r="Y15" s="26" t="s">
        <v>11</v>
      </c>
      <c r="Z15" s="26" t="s">
        <v>11</v>
      </c>
      <c r="AA15" s="41" t="s">
        <v>291</v>
      </c>
      <c r="AB15" s="26" t="s">
        <v>11</v>
      </c>
      <c r="AC15" s="26" t="s">
        <v>11</v>
      </c>
      <c r="AD15" s="26" t="s">
        <v>11</v>
      </c>
      <c r="AE15" s="26" t="s">
        <v>11</v>
      </c>
      <c r="AF15" s="26" t="s">
        <v>11</v>
      </c>
      <c r="AG15" s="26" t="s">
        <v>11</v>
      </c>
      <c r="AH15" s="41" t="s">
        <v>291</v>
      </c>
      <c r="AI15" s="26" t="s">
        <v>11</v>
      </c>
    </row>
    <row r="16" spans="2:35" ht="20" x14ac:dyDescent="0.35">
      <c r="B16" s="21" t="s">
        <v>64</v>
      </c>
      <c r="C16" s="21" t="s">
        <v>82</v>
      </c>
      <c r="D16" s="21" t="s">
        <v>21</v>
      </c>
      <c r="E16" s="21">
        <v>10</v>
      </c>
      <c r="F16" s="24" t="s">
        <v>11</v>
      </c>
      <c r="G16" s="24" t="s">
        <v>11</v>
      </c>
      <c r="H16" s="24" t="s">
        <v>11</v>
      </c>
      <c r="I16" s="24" t="s">
        <v>11</v>
      </c>
      <c r="J16" s="24" t="s">
        <v>11</v>
      </c>
      <c r="K16" s="24" t="s">
        <v>11</v>
      </c>
      <c r="L16" s="24" t="s">
        <v>11</v>
      </c>
      <c r="M16" s="24" t="s">
        <v>11</v>
      </c>
      <c r="N16" s="43" t="s">
        <v>290</v>
      </c>
      <c r="O16" s="24" t="s">
        <v>11</v>
      </c>
      <c r="P16" s="24" t="s">
        <v>11</v>
      </c>
      <c r="Q16" s="24" t="s">
        <v>11</v>
      </c>
      <c r="R16" s="24" t="s">
        <v>11</v>
      </c>
      <c r="S16" s="24" t="s">
        <v>11</v>
      </c>
      <c r="T16" s="24" t="s">
        <v>11</v>
      </c>
      <c r="U16" s="24" t="s">
        <v>11</v>
      </c>
      <c r="V16" s="24" t="s">
        <v>11</v>
      </c>
      <c r="W16" s="23" t="s">
        <v>11</v>
      </c>
      <c r="X16" s="25"/>
      <c r="Y16" s="26" t="s">
        <v>11</v>
      </c>
      <c r="Z16" s="26" t="s">
        <v>11</v>
      </c>
      <c r="AA16" s="26" t="s">
        <v>11</v>
      </c>
      <c r="AB16" s="26" t="s">
        <v>11</v>
      </c>
      <c r="AC16" s="26" t="s">
        <v>11</v>
      </c>
      <c r="AD16" s="26" t="s">
        <v>11</v>
      </c>
      <c r="AE16" s="26" t="s">
        <v>11</v>
      </c>
      <c r="AF16" s="26" t="s">
        <v>11</v>
      </c>
      <c r="AG16" s="26" t="s">
        <v>11</v>
      </c>
      <c r="AH16" s="26" t="s">
        <v>11</v>
      </c>
      <c r="AI16" s="26" t="s">
        <v>11</v>
      </c>
    </row>
    <row r="17" spans="2:35" ht="20" x14ac:dyDescent="0.35">
      <c r="B17" s="21" t="s">
        <v>62</v>
      </c>
      <c r="C17" s="21" t="s">
        <v>30</v>
      </c>
      <c r="D17" s="21" t="s">
        <v>21</v>
      </c>
      <c r="E17" s="21">
        <v>30</v>
      </c>
      <c r="F17" s="24" t="s">
        <v>11</v>
      </c>
      <c r="G17" s="24" t="s">
        <v>11</v>
      </c>
      <c r="H17" s="24" t="s">
        <v>11</v>
      </c>
      <c r="I17" s="24" t="s">
        <v>11</v>
      </c>
      <c r="J17" s="24" t="s">
        <v>11</v>
      </c>
      <c r="K17" s="24" t="s">
        <v>11</v>
      </c>
      <c r="L17" s="24" t="s">
        <v>11</v>
      </c>
      <c r="M17" s="24" t="s">
        <v>11</v>
      </c>
      <c r="N17" s="43" t="s">
        <v>290</v>
      </c>
      <c r="O17" s="24" t="s">
        <v>11</v>
      </c>
      <c r="P17" s="24" t="s">
        <v>11</v>
      </c>
      <c r="Q17" s="24" t="s">
        <v>11</v>
      </c>
      <c r="R17" s="24" t="s">
        <v>11</v>
      </c>
      <c r="S17" s="24" t="s">
        <v>11</v>
      </c>
      <c r="T17" s="24" t="s">
        <v>11</v>
      </c>
      <c r="U17" s="24" t="s">
        <v>11</v>
      </c>
      <c r="V17" s="24" t="s">
        <v>11</v>
      </c>
      <c r="W17" s="24" t="s">
        <v>11</v>
      </c>
      <c r="X17" s="25"/>
      <c r="Y17" s="26" t="s">
        <v>11</v>
      </c>
      <c r="Z17" s="26" t="s">
        <v>11</v>
      </c>
      <c r="AA17" s="26" t="s">
        <v>11</v>
      </c>
      <c r="AB17" s="26" t="s">
        <v>11</v>
      </c>
      <c r="AC17" s="26" t="s">
        <v>11</v>
      </c>
      <c r="AD17" s="26" t="s">
        <v>11</v>
      </c>
      <c r="AE17" s="26" t="s">
        <v>11</v>
      </c>
      <c r="AF17" s="26" t="s">
        <v>11</v>
      </c>
      <c r="AG17" s="26" t="s">
        <v>11</v>
      </c>
      <c r="AH17" s="26" t="s">
        <v>11</v>
      </c>
      <c r="AI17" s="26" t="s">
        <v>11</v>
      </c>
    </row>
    <row r="18" spans="2:35" ht="30" x14ac:dyDescent="0.35">
      <c r="B18" s="21" t="s">
        <v>68</v>
      </c>
      <c r="C18" s="21" t="s">
        <v>31</v>
      </c>
      <c r="D18" s="21" t="s">
        <v>24</v>
      </c>
      <c r="E18" s="21">
        <v>35</v>
      </c>
      <c r="F18" s="23" t="s">
        <v>11</v>
      </c>
      <c r="G18" s="23" t="s">
        <v>11</v>
      </c>
      <c r="H18" s="23" t="s">
        <v>11</v>
      </c>
      <c r="I18" s="23" t="s">
        <v>11</v>
      </c>
      <c r="J18" s="23" t="s">
        <v>11</v>
      </c>
      <c r="K18" s="23" t="s">
        <v>11</v>
      </c>
      <c r="L18" s="23" t="s">
        <v>11</v>
      </c>
      <c r="M18" s="23" t="s">
        <v>11</v>
      </c>
      <c r="N18" s="43" t="s">
        <v>290</v>
      </c>
      <c r="O18" s="23" t="s">
        <v>11</v>
      </c>
      <c r="P18" s="23" t="s">
        <v>11</v>
      </c>
      <c r="Q18" s="23" t="s">
        <v>11</v>
      </c>
      <c r="R18" s="23" t="s">
        <v>11</v>
      </c>
      <c r="S18" s="23" t="s">
        <v>11</v>
      </c>
      <c r="T18" s="23" t="s">
        <v>11</v>
      </c>
      <c r="U18" s="23" t="s">
        <v>11</v>
      </c>
      <c r="V18" s="23" t="s">
        <v>11</v>
      </c>
      <c r="W18" s="23" t="s">
        <v>11</v>
      </c>
      <c r="X18" s="25"/>
      <c r="Y18" s="26" t="s">
        <v>11</v>
      </c>
      <c r="Z18" s="26" t="s">
        <v>11</v>
      </c>
      <c r="AA18" s="26" t="s">
        <v>11</v>
      </c>
      <c r="AB18" s="26" t="s">
        <v>11</v>
      </c>
      <c r="AC18" s="26" t="s">
        <v>11</v>
      </c>
      <c r="AD18" s="26" t="s">
        <v>11</v>
      </c>
      <c r="AE18" s="26" t="s">
        <v>11</v>
      </c>
      <c r="AF18" s="26" t="s">
        <v>11</v>
      </c>
      <c r="AG18" s="26" t="s">
        <v>11</v>
      </c>
      <c r="AH18" s="26" t="s">
        <v>11</v>
      </c>
      <c r="AI18" s="26" t="s">
        <v>11</v>
      </c>
    </row>
    <row r="19" spans="2:35" ht="30" x14ac:dyDescent="0.35">
      <c r="B19" s="21" t="s">
        <v>69</v>
      </c>
      <c r="C19" s="21" t="s">
        <v>85</v>
      </c>
      <c r="D19" s="21" t="s">
        <v>24</v>
      </c>
      <c r="E19" s="21">
        <v>12</v>
      </c>
      <c r="F19" s="23" t="s">
        <v>11</v>
      </c>
      <c r="G19" s="23" t="s">
        <v>11</v>
      </c>
      <c r="H19" s="23" t="s">
        <v>11</v>
      </c>
      <c r="I19" s="23" t="s">
        <v>11</v>
      </c>
      <c r="J19" s="23" t="s">
        <v>11</v>
      </c>
      <c r="K19" s="23" t="s">
        <v>11</v>
      </c>
      <c r="L19" s="23" t="s">
        <v>11</v>
      </c>
      <c r="M19" s="23" t="s">
        <v>11</v>
      </c>
      <c r="N19" s="43" t="s">
        <v>290</v>
      </c>
      <c r="O19" s="24" t="s">
        <v>11</v>
      </c>
      <c r="P19" s="24" t="s">
        <v>11</v>
      </c>
      <c r="Q19" s="24" t="s">
        <v>11</v>
      </c>
      <c r="R19" s="24" t="s">
        <v>11</v>
      </c>
      <c r="S19" s="24" t="s">
        <v>11</v>
      </c>
      <c r="T19" s="23" t="s">
        <v>11</v>
      </c>
      <c r="U19" s="23" t="s">
        <v>11</v>
      </c>
      <c r="V19" s="23" t="s">
        <v>11</v>
      </c>
      <c r="W19" s="23" t="s">
        <v>11</v>
      </c>
      <c r="X19" s="25"/>
      <c r="Y19" s="26" t="s">
        <v>11</v>
      </c>
      <c r="Z19" s="26" t="s">
        <v>11</v>
      </c>
      <c r="AA19" s="41" t="s">
        <v>291</v>
      </c>
      <c r="AB19" s="26" t="s">
        <v>11</v>
      </c>
      <c r="AC19" s="26" t="s">
        <v>11</v>
      </c>
      <c r="AD19" s="26" t="s">
        <v>11</v>
      </c>
      <c r="AE19" s="26" t="s">
        <v>11</v>
      </c>
      <c r="AF19" s="26" t="s">
        <v>11</v>
      </c>
      <c r="AG19" s="26" t="s">
        <v>11</v>
      </c>
      <c r="AH19" s="26" t="s">
        <v>11</v>
      </c>
      <c r="AI19" s="26" t="s">
        <v>11</v>
      </c>
    </row>
    <row r="20" spans="2:35" ht="20" x14ac:dyDescent="0.35">
      <c r="B20" s="21" t="s">
        <v>65</v>
      </c>
      <c r="C20" s="21" t="s">
        <v>30</v>
      </c>
      <c r="D20" s="21" t="s">
        <v>21</v>
      </c>
      <c r="E20" s="21">
        <v>5</v>
      </c>
      <c r="F20" s="24" t="s">
        <v>11</v>
      </c>
      <c r="G20" s="24" t="s">
        <v>11</v>
      </c>
      <c r="H20" s="24" t="s">
        <v>11</v>
      </c>
      <c r="I20" s="24" t="s">
        <v>11</v>
      </c>
      <c r="J20" s="24" t="s">
        <v>11</v>
      </c>
      <c r="K20" s="24" t="s">
        <v>11</v>
      </c>
      <c r="L20" s="24" t="s">
        <v>11</v>
      </c>
      <c r="M20" s="24" t="s">
        <v>11</v>
      </c>
      <c r="N20" s="24" t="s">
        <v>11</v>
      </c>
      <c r="O20" s="24" t="s">
        <v>11</v>
      </c>
      <c r="P20" s="24" t="s">
        <v>11</v>
      </c>
      <c r="Q20" s="24" t="s">
        <v>11</v>
      </c>
      <c r="R20" s="24" t="s">
        <v>11</v>
      </c>
      <c r="S20" s="24" t="s">
        <v>11</v>
      </c>
      <c r="T20" s="23" t="s">
        <v>11</v>
      </c>
      <c r="U20" s="23" t="s">
        <v>11</v>
      </c>
      <c r="V20" s="23" t="s">
        <v>11</v>
      </c>
      <c r="W20" s="23" t="s">
        <v>11</v>
      </c>
      <c r="X20" s="25"/>
      <c r="Y20" s="26" t="s">
        <v>11</v>
      </c>
      <c r="Z20" s="26" t="s">
        <v>11</v>
      </c>
      <c r="AA20" s="26" t="s">
        <v>11</v>
      </c>
      <c r="AB20" s="26" t="s">
        <v>11</v>
      </c>
      <c r="AC20" s="26" t="s">
        <v>11</v>
      </c>
      <c r="AD20" s="26" t="s">
        <v>11</v>
      </c>
      <c r="AE20" s="26" t="s">
        <v>11</v>
      </c>
      <c r="AF20" s="26" t="s">
        <v>11</v>
      </c>
      <c r="AG20" s="26" t="s">
        <v>11</v>
      </c>
      <c r="AH20" s="26" t="s">
        <v>11</v>
      </c>
      <c r="AI20" s="41" t="s">
        <v>290</v>
      </c>
    </row>
    <row r="21" spans="2:35" x14ac:dyDescent="0.35">
      <c r="B21" s="21" t="s">
        <v>42</v>
      </c>
      <c r="C21" s="21" t="s">
        <v>30</v>
      </c>
      <c r="D21" s="21" t="s">
        <v>21</v>
      </c>
      <c r="E21" s="21">
        <v>2</v>
      </c>
      <c r="F21" s="23" t="s">
        <v>11</v>
      </c>
      <c r="G21" s="23" t="s">
        <v>11</v>
      </c>
      <c r="H21" s="23" t="s">
        <v>11</v>
      </c>
      <c r="I21" s="23" t="s">
        <v>11</v>
      </c>
      <c r="J21" s="23" t="s">
        <v>11</v>
      </c>
      <c r="K21" s="23" t="s">
        <v>11</v>
      </c>
      <c r="L21" s="23" t="s">
        <v>11</v>
      </c>
      <c r="M21" s="23" t="s">
        <v>11</v>
      </c>
      <c r="N21" s="23" t="s">
        <v>11</v>
      </c>
      <c r="O21" s="43" t="s">
        <v>290</v>
      </c>
      <c r="P21" s="43" t="s">
        <v>290</v>
      </c>
      <c r="Q21" s="43" t="s">
        <v>290</v>
      </c>
      <c r="R21" s="43" t="s">
        <v>290</v>
      </c>
      <c r="S21" s="43" t="s">
        <v>290</v>
      </c>
      <c r="T21" s="23" t="s">
        <v>11</v>
      </c>
      <c r="U21" s="23" t="s">
        <v>11</v>
      </c>
      <c r="V21" s="23" t="s">
        <v>11</v>
      </c>
      <c r="W21" s="23" t="s">
        <v>11</v>
      </c>
      <c r="X21" s="25"/>
      <c r="Y21" s="26" t="s">
        <v>11</v>
      </c>
      <c r="Z21" s="26" t="s">
        <v>11</v>
      </c>
      <c r="AA21" s="26" t="s">
        <v>11</v>
      </c>
      <c r="AB21" s="26" t="s">
        <v>11</v>
      </c>
      <c r="AC21" s="26" t="s">
        <v>11</v>
      </c>
      <c r="AD21" s="26" t="s">
        <v>11</v>
      </c>
      <c r="AE21" s="41" t="s">
        <v>291</v>
      </c>
      <c r="AF21" s="41" t="s">
        <v>291</v>
      </c>
      <c r="AG21" s="41" t="s">
        <v>291</v>
      </c>
      <c r="AH21" s="26" t="s">
        <v>11</v>
      </c>
      <c r="AI21" s="26" t="s">
        <v>11</v>
      </c>
    </row>
    <row r="22" spans="2:35" x14ac:dyDescent="0.35">
      <c r="B22" s="21" t="s">
        <v>52</v>
      </c>
      <c r="C22" s="21" t="s">
        <v>30</v>
      </c>
      <c r="D22" s="21" t="s">
        <v>21</v>
      </c>
      <c r="E22" s="21">
        <v>20</v>
      </c>
      <c r="F22" s="24" t="s">
        <v>11</v>
      </c>
      <c r="G22" s="24" t="s">
        <v>11</v>
      </c>
      <c r="H22" s="24" t="s">
        <v>11</v>
      </c>
      <c r="I22" s="24" t="s">
        <v>11</v>
      </c>
      <c r="J22" s="24" t="s">
        <v>11</v>
      </c>
      <c r="K22" s="24" t="s">
        <v>11</v>
      </c>
      <c r="L22" s="24" t="s">
        <v>11</v>
      </c>
      <c r="M22" s="24" t="s">
        <v>11</v>
      </c>
      <c r="N22" s="24" t="s">
        <v>11</v>
      </c>
      <c r="O22" s="24" t="s">
        <v>11</v>
      </c>
      <c r="P22" s="43" t="s">
        <v>290</v>
      </c>
      <c r="Q22" s="24" t="s">
        <v>11</v>
      </c>
      <c r="R22" s="24" t="s">
        <v>11</v>
      </c>
      <c r="S22" s="24" t="s">
        <v>11</v>
      </c>
      <c r="T22" s="43" t="s">
        <v>290</v>
      </c>
      <c r="U22" s="43" t="s">
        <v>290</v>
      </c>
      <c r="V22" s="23" t="s">
        <v>11</v>
      </c>
      <c r="W22" s="23" t="s">
        <v>11</v>
      </c>
      <c r="X22" s="25"/>
      <c r="Y22" s="26" t="s">
        <v>11</v>
      </c>
      <c r="Z22" s="26" t="s">
        <v>11</v>
      </c>
      <c r="AA22" s="26" t="s">
        <v>11</v>
      </c>
      <c r="AB22" s="26" t="s">
        <v>11</v>
      </c>
      <c r="AC22" s="26" t="s">
        <v>11</v>
      </c>
      <c r="AD22" s="26" t="s">
        <v>11</v>
      </c>
      <c r="AE22" s="26" t="s">
        <v>11</v>
      </c>
      <c r="AF22" s="26" t="s">
        <v>11</v>
      </c>
      <c r="AG22" s="26" t="s">
        <v>11</v>
      </c>
      <c r="AH22" s="26" t="s">
        <v>11</v>
      </c>
      <c r="AI22" s="26" t="s">
        <v>11</v>
      </c>
    </row>
    <row r="23" spans="2:35" ht="30" x14ac:dyDescent="0.35">
      <c r="B23" s="21" t="s">
        <v>33</v>
      </c>
      <c r="C23" s="21" t="s">
        <v>30</v>
      </c>
      <c r="D23" s="21" t="s">
        <v>111</v>
      </c>
      <c r="E23" s="21">
        <v>4</v>
      </c>
      <c r="F23" s="23" t="s">
        <v>11</v>
      </c>
      <c r="G23" s="23" t="s">
        <v>11</v>
      </c>
      <c r="H23" s="23" t="s">
        <v>11</v>
      </c>
      <c r="I23" s="42" t="s">
        <v>292</v>
      </c>
      <c r="J23" s="23" t="s">
        <v>11</v>
      </c>
      <c r="K23" s="23" t="s">
        <v>11</v>
      </c>
      <c r="L23" s="23" t="s">
        <v>11</v>
      </c>
      <c r="M23" s="23" t="s">
        <v>11</v>
      </c>
      <c r="N23" s="24" t="s">
        <v>11</v>
      </c>
      <c r="O23" s="24" t="s">
        <v>11</v>
      </c>
      <c r="P23" s="24" t="s">
        <v>11</v>
      </c>
      <c r="Q23" s="24" t="s">
        <v>11</v>
      </c>
      <c r="R23" s="24" t="s">
        <v>11</v>
      </c>
      <c r="S23" s="24" t="s">
        <v>11</v>
      </c>
      <c r="T23" s="23" t="s">
        <v>11</v>
      </c>
      <c r="U23" s="23" t="s">
        <v>11</v>
      </c>
      <c r="V23" s="23" t="s">
        <v>11</v>
      </c>
      <c r="W23" s="23" t="s">
        <v>11</v>
      </c>
      <c r="X23" s="25"/>
      <c r="Y23" s="26" t="s">
        <v>11</v>
      </c>
      <c r="Z23" s="27" t="s">
        <v>11</v>
      </c>
      <c r="AA23" s="26" t="s">
        <v>11</v>
      </c>
      <c r="AB23" s="26" t="s">
        <v>11</v>
      </c>
      <c r="AC23" s="26" t="s">
        <v>11</v>
      </c>
      <c r="AD23" s="26" t="s">
        <v>11</v>
      </c>
      <c r="AE23" s="26" t="s">
        <v>11</v>
      </c>
      <c r="AF23" s="26" t="s">
        <v>11</v>
      </c>
      <c r="AG23" s="26" t="s">
        <v>11</v>
      </c>
      <c r="AH23" s="26" t="s">
        <v>11</v>
      </c>
      <c r="AI23" s="26" t="s">
        <v>11</v>
      </c>
    </row>
    <row r="24" spans="2:35" ht="20" x14ac:dyDescent="0.35">
      <c r="B24" s="21" t="s">
        <v>17</v>
      </c>
      <c r="C24" s="21" t="s">
        <v>30</v>
      </c>
      <c r="D24" s="21" t="s">
        <v>21</v>
      </c>
      <c r="E24" s="21">
        <v>1</v>
      </c>
      <c r="F24" s="23" t="s">
        <v>11</v>
      </c>
      <c r="G24" s="23" t="s">
        <v>11</v>
      </c>
      <c r="H24" s="23" t="s">
        <v>11</v>
      </c>
      <c r="I24" s="23" t="s">
        <v>11</v>
      </c>
      <c r="J24" s="42" t="s">
        <v>290</v>
      </c>
      <c r="K24" s="42" t="s">
        <v>290</v>
      </c>
      <c r="L24" s="42" t="s">
        <v>290</v>
      </c>
      <c r="M24" s="42" t="s">
        <v>290</v>
      </c>
      <c r="N24" s="24" t="s">
        <v>11</v>
      </c>
      <c r="O24" s="24" t="s">
        <v>11</v>
      </c>
      <c r="P24" s="24" t="s">
        <v>11</v>
      </c>
      <c r="Q24" s="24" t="s">
        <v>11</v>
      </c>
      <c r="R24" s="24" t="s">
        <v>11</v>
      </c>
      <c r="S24" s="24" t="s">
        <v>11</v>
      </c>
      <c r="T24" s="23" t="s">
        <v>11</v>
      </c>
      <c r="U24" s="23" t="s">
        <v>11</v>
      </c>
      <c r="V24" s="23" t="s">
        <v>11</v>
      </c>
      <c r="W24" s="23" t="s">
        <v>11</v>
      </c>
      <c r="X24" s="25"/>
      <c r="Y24" s="41" t="s">
        <v>291</v>
      </c>
      <c r="Z24" s="26" t="s">
        <v>11</v>
      </c>
      <c r="AA24" s="41" t="s">
        <v>291</v>
      </c>
      <c r="AB24" s="41" t="s">
        <v>291</v>
      </c>
      <c r="AC24" s="26" t="s">
        <v>11</v>
      </c>
      <c r="AD24" s="41" t="s">
        <v>291</v>
      </c>
      <c r="AE24" s="26" t="s">
        <v>11</v>
      </c>
      <c r="AF24" s="26" t="s">
        <v>11</v>
      </c>
      <c r="AG24" s="26" t="s">
        <v>11</v>
      </c>
      <c r="AH24" s="26" t="s">
        <v>11</v>
      </c>
      <c r="AI24" s="26" t="s">
        <v>11</v>
      </c>
    </row>
    <row r="25" spans="2:35" x14ac:dyDescent="0.35">
      <c r="E25" s="59">
        <f>SUM(E3:E24)</f>
        <v>153</v>
      </c>
    </row>
    <row r="28" spans="2:35" x14ac:dyDescent="0.35">
      <c r="F28" s="16" t="s">
        <v>129</v>
      </c>
      <c r="G28" s="16"/>
      <c r="H28" s="16"/>
      <c r="J28" s="17" t="s">
        <v>130</v>
      </c>
    </row>
    <row r="29" spans="2:35" ht="80" x14ac:dyDescent="0.35">
      <c r="B29" s="30" t="s">
        <v>2</v>
      </c>
      <c r="C29" s="30" t="s">
        <v>81</v>
      </c>
      <c r="D29" s="30" t="s">
        <v>27</v>
      </c>
      <c r="E29" s="30" t="s">
        <v>28</v>
      </c>
      <c r="F29" s="32" t="s">
        <v>40</v>
      </c>
      <c r="G29" s="20" t="s">
        <v>136</v>
      </c>
      <c r="H29" s="20" t="s">
        <v>137</v>
      </c>
      <c r="I29" s="33"/>
      <c r="J29" s="20" t="s">
        <v>132</v>
      </c>
    </row>
    <row r="30" spans="2:35" x14ac:dyDescent="0.35">
      <c r="B30" s="21" t="s">
        <v>66</v>
      </c>
      <c r="C30" s="58" t="s">
        <v>83</v>
      </c>
      <c r="D30" s="21" t="s">
        <v>21</v>
      </c>
      <c r="E30" s="21">
        <v>5</v>
      </c>
      <c r="F30" s="42" t="s">
        <v>290</v>
      </c>
      <c r="G30" s="42" t="s">
        <v>290</v>
      </c>
      <c r="H30" s="42" t="s">
        <v>290</v>
      </c>
      <c r="I30" s="25"/>
      <c r="J30" s="41" t="s">
        <v>291</v>
      </c>
    </row>
    <row r="31" spans="2:35" x14ac:dyDescent="0.35">
      <c r="E31" s="12">
        <v>5</v>
      </c>
    </row>
    <row r="33" spans="2:33" x14ac:dyDescent="0.35">
      <c r="F33" s="16" t="s">
        <v>129</v>
      </c>
      <c r="G33" s="16"/>
      <c r="H33" s="16"/>
      <c r="J33" s="17" t="s">
        <v>130</v>
      </c>
      <c r="K33" s="18"/>
      <c r="L33" s="19"/>
    </row>
    <row r="34" spans="2:33" ht="42" x14ac:dyDescent="0.35">
      <c r="B34" s="30" t="s">
        <v>2</v>
      </c>
      <c r="C34" s="30" t="s">
        <v>81</v>
      </c>
      <c r="D34" s="30" t="s">
        <v>27</v>
      </c>
      <c r="E34" s="30" t="s">
        <v>28</v>
      </c>
      <c r="F34" s="20" t="s">
        <v>15</v>
      </c>
      <c r="G34" s="20" t="s">
        <v>138</v>
      </c>
      <c r="H34" s="38" t="s">
        <v>194</v>
      </c>
      <c r="I34" s="33"/>
      <c r="J34" s="20" t="s">
        <v>132</v>
      </c>
      <c r="K34" s="20" t="s">
        <v>39</v>
      </c>
      <c r="L34" s="38" t="s">
        <v>194</v>
      </c>
    </row>
    <row r="35" spans="2:33" ht="30" x14ac:dyDescent="0.35">
      <c r="B35" s="21" t="s">
        <v>19</v>
      </c>
      <c r="C35" s="58" t="s">
        <v>31</v>
      </c>
      <c r="D35" s="21" t="s">
        <v>16</v>
      </c>
      <c r="E35" s="21">
        <v>8</v>
      </c>
      <c r="F35" s="24" t="s">
        <v>11</v>
      </c>
      <c r="G35" s="24" t="s">
        <v>11</v>
      </c>
      <c r="H35" s="43" t="s">
        <v>290</v>
      </c>
      <c r="I35" s="25"/>
      <c r="J35" s="27" t="s">
        <v>11</v>
      </c>
      <c r="K35" s="27" t="s">
        <v>11</v>
      </c>
      <c r="L35" s="41" t="s">
        <v>291</v>
      </c>
    </row>
    <row r="36" spans="2:33" ht="30" x14ac:dyDescent="0.35">
      <c r="B36" s="21" t="s">
        <v>19</v>
      </c>
      <c r="C36" s="58" t="s">
        <v>31</v>
      </c>
      <c r="D36" s="21" t="s">
        <v>24</v>
      </c>
      <c r="E36" s="21">
        <v>8</v>
      </c>
      <c r="F36" s="24" t="s">
        <v>11</v>
      </c>
      <c r="G36" s="24" t="s">
        <v>11</v>
      </c>
      <c r="H36" s="43" t="s">
        <v>290</v>
      </c>
      <c r="I36" s="25"/>
      <c r="J36" s="27" t="s">
        <v>11</v>
      </c>
      <c r="K36" s="27" t="s">
        <v>11</v>
      </c>
      <c r="L36" s="41" t="s">
        <v>291</v>
      </c>
    </row>
    <row r="37" spans="2:33" ht="30" x14ac:dyDescent="0.35">
      <c r="B37" s="21" t="s">
        <v>6</v>
      </c>
      <c r="C37" s="58" t="s">
        <v>31</v>
      </c>
      <c r="D37" s="21" t="s">
        <v>111</v>
      </c>
      <c r="E37" s="21">
        <v>1</v>
      </c>
      <c r="F37" s="43" t="s">
        <v>290</v>
      </c>
      <c r="G37" s="43" t="s">
        <v>290</v>
      </c>
      <c r="H37" s="23" t="s">
        <v>11</v>
      </c>
      <c r="I37" s="25"/>
      <c r="J37" s="27" t="s">
        <v>11</v>
      </c>
      <c r="K37" s="41" t="s">
        <v>290</v>
      </c>
      <c r="L37" s="26" t="s">
        <v>11</v>
      </c>
    </row>
    <row r="38" spans="2:33" ht="30" x14ac:dyDescent="0.35">
      <c r="B38" s="21" t="s">
        <v>68</v>
      </c>
      <c r="C38" s="58" t="s">
        <v>31</v>
      </c>
      <c r="D38" s="21" t="s">
        <v>24</v>
      </c>
      <c r="E38" s="21">
        <v>35</v>
      </c>
      <c r="F38" s="23" t="s">
        <v>11</v>
      </c>
      <c r="G38" s="23" t="s">
        <v>11</v>
      </c>
      <c r="H38" s="43" t="s">
        <v>290</v>
      </c>
      <c r="I38" s="25"/>
      <c r="J38" s="26" t="s">
        <v>11</v>
      </c>
      <c r="K38" s="26" t="s">
        <v>11</v>
      </c>
      <c r="L38" s="26" t="s">
        <v>11</v>
      </c>
    </row>
    <row r="39" spans="2:33" ht="30" x14ac:dyDescent="0.35">
      <c r="B39" s="21" t="s">
        <v>69</v>
      </c>
      <c r="C39" s="60" t="s">
        <v>85</v>
      </c>
      <c r="D39" s="21" t="s">
        <v>24</v>
      </c>
      <c r="E39" s="21">
        <v>12</v>
      </c>
      <c r="F39" s="23" t="s">
        <v>11</v>
      </c>
      <c r="G39" s="23" t="s">
        <v>11</v>
      </c>
      <c r="H39" s="43" t="s">
        <v>290</v>
      </c>
      <c r="I39" s="25"/>
      <c r="J39" s="41" t="s">
        <v>291</v>
      </c>
      <c r="K39" s="26" t="s">
        <v>11</v>
      </c>
      <c r="L39" s="26" t="s">
        <v>11</v>
      </c>
    </row>
    <row r="40" spans="2:33" x14ac:dyDescent="0.35">
      <c r="E40" s="12">
        <f>SUM(E35:E39)</f>
        <v>64</v>
      </c>
    </row>
    <row r="42" spans="2:33" x14ac:dyDescent="0.35">
      <c r="F42" s="16" t="s">
        <v>129</v>
      </c>
      <c r="G42" s="16"/>
      <c r="H42" s="16"/>
      <c r="I42" s="16"/>
      <c r="J42" s="16"/>
      <c r="K42" s="16"/>
      <c r="L42" s="16"/>
      <c r="M42" s="16"/>
      <c r="N42" s="16"/>
      <c r="O42" s="16"/>
      <c r="P42" s="16"/>
      <c r="Q42" s="16"/>
      <c r="R42" s="16"/>
      <c r="S42" s="16"/>
      <c r="T42" s="16"/>
      <c r="U42" s="16"/>
      <c r="W42" s="17" t="s">
        <v>130</v>
      </c>
      <c r="X42" s="18"/>
      <c r="Y42" s="18"/>
      <c r="Z42" s="18"/>
      <c r="AA42" s="18"/>
      <c r="AB42" s="18"/>
      <c r="AC42" s="19"/>
      <c r="AD42" s="19"/>
      <c r="AE42" s="19"/>
      <c r="AF42" s="19"/>
      <c r="AG42" s="19"/>
    </row>
    <row r="43" spans="2:33" ht="50" x14ac:dyDescent="0.35">
      <c r="B43" s="30" t="s">
        <v>2</v>
      </c>
      <c r="C43" s="30" t="s">
        <v>81</v>
      </c>
      <c r="D43" s="30" t="s">
        <v>27</v>
      </c>
      <c r="E43" s="30" t="s">
        <v>28</v>
      </c>
      <c r="F43" s="20" t="s">
        <v>15</v>
      </c>
      <c r="G43" s="20" t="s">
        <v>138</v>
      </c>
      <c r="H43" s="20" t="s">
        <v>14</v>
      </c>
      <c r="I43" s="20" t="s">
        <v>35</v>
      </c>
      <c r="J43" s="20" t="s">
        <v>38</v>
      </c>
      <c r="K43" s="20" t="s">
        <v>139</v>
      </c>
      <c r="L43" s="32" t="s">
        <v>40</v>
      </c>
      <c r="M43" s="32" t="s">
        <v>135</v>
      </c>
      <c r="N43" s="38" t="s">
        <v>194</v>
      </c>
      <c r="O43" s="20" t="s">
        <v>44</v>
      </c>
      <c r="P43" s="20" t="s">
        <v>45</v>
      </c>
      <c r="Q43" s="20" t="s">
        <v>46</v>
      </c>
      <c r="R43" s="20" t="s">
        <v>47</v>
      </c>
      <c r="S43" s="20" t="s">
        <v>48</v>
      </c>
      <c r="T43" s="20" t="s">
        <v>54</v>
      </c>
      <c r="U43" s="20" t="s">
        <v>86</v>
      </c>
      <c r="V43" s="33"/>
      <c r="W43" s="20" t="s">
        <v>38</v>
      </c>
      <c r="X43" s="32" t="s">
        <v>131</v>
      </c>
      <c r="Y43" s="20" t="s">
        <v>132</v>
      </c>
      <c r="Z43" s="20" t="s">
        <v>39</v>
      </c>
      <c r="AA43" s="20" t="s">
        <v>133</v>
      </c>
      <c r="AB43" s="32" t="s">
        <v>134</v>
      </c>
      <c r="AC43" s="20" t="s">
        <v>49</v>
      </c>
      <c r="AD43" s="20" t="s">
        <v>50</v>
      </c>
      <c r="AE43" s="20" t="s">
        <v>51</v>
      </c>
      <c r="AF43" s="38" t="s">
        <v>194</v>
      </c>
      <c r="AG43" s="34" t="s">
        <v>241</v>
      </c>
    </row>
    <row r="44" spans="2:33" ht="20" x14ac:dyDescent="0.35">
      <c r="B44" s="21" t="s">
        <v>18</v>
      </c>
      <c r="C44" s="58" t="s">
        <v>30</v>
      </c>
      <c r="D44" s="21" t="s">
        <v>16</v>
      </c>
      <c r="E44" s="21">
        <v>1</v>
      </c>
      <c r="F44" s="23" t="s">
        <v>11</v>
      </c>
      <c r="G44" s="23" t="s">
        <v>11</v>
      </c>
      <c r="H44" s="23" t="s">
        <v>11</v>
      </c>
      <c r="I44" s="23" t="s">
        <v>11</v>
      </c>
      <c r="J44" s="23" t="s">
        <v>11</v>
      </c>
      <c r="K44" s="23" t="s">
        <v>11</v>
      </c>
      <c r="L44" s="23" t="s">
        <v>11</v>
      </c>
      <c r="M44" s="23" t="s">
        <v>11</v>
      </c>
      <c r="N44" s="43" t="s">
        <v>290</v>
      </c>
      <c r="O44" s="24" t="s">
        <v>11</v>
      </c>
      <c r="P44" s="24" t="s">
        <v>11</v>
      </c>
      <c r="Q44" s="24" t="s">
        <v>11</v>
      </c>
      <c r="R44" s="24" t="s">
        <v>11</v>
      </c>
      <c r="S44" s="24" t="s">
        <v>11</v>
      </c>
      <c r="T44" s="23" t="s">
        <v>11</v>
      </c>
      <c r="U44" s="23" t="s">
        <v>11</v>
      </c>
      <c r="V44" s="25"/>
      <c r="W44" s="26" t="s">
        <v>11</v>
      </c>
      <c r="X44" s="27" t="s">
        <v>11</v>
      </c>
      <c r="Y44" s="41" t="s">
        <v>291</v>
      </c>
      <c r="Z44" s="41" t="s">
        <v>291</v>
      </c>
      <c r="AA44" s="26" t="s">
        <v>11</v>
      </c>
      <c r="AB44" s="26" t="s">
        <v>11</v>
      </c>
      <c r="AC44" s="26" t="s">
        <v>11</v>
      </c>
      <c r="AD44" s="26" t="s">
        <v>11</v>
      </c>
      <c r="AE44" s="26" t="s">
        <v>11</v>
      </c>
      <c r="AF44" s="26" t="s">
        <v>11</v>
      </c>
      <c r="AG44" s="26" t="s">
        <v>11</v>
      </c>
    </row>
    <row r="45" spans="2:33" x14ac:dyDescent="0.35">
      <c r="B45" s="21" t="s">
        <v>18</v>
      </c>
      <c r="C45" s="58" t="s">
        <v>30</v>
      </c>
      <c r="D45" s="21" t="s">
        <v>21</v>
      </c>
      <c r="E45" s="21">
        <v>1</v>
      </c>
      <c r="F45" s="23" t="s">
        <v>11</v>
      </c>
      <c r="G45" s="23" t="s">
        <v>11</v>
      </c>
      <c r="H45" s="23" t="s">
        <v>11</v>
      </c>
      <c r="I45" s="23" t="s">
        <v>11</v>
      </c>
      <c r="J45" s="23" t="s">
        <v>11</v>
      </c>
      <c r="K45" s="23" t="s">
        <v>11</v>
      </c>
      <c r="L45" s="23" t="s">
        <v>11</v>
      </c>
      <c r="M45" s="23" t="s">
        <v>11</v>
      </c>
      <c r="N45" s="43" t="s">
        <v>290</v>
      </c>
      <c r="O45" s="24" t="s">
        <v>11</v>
      </c>
      <c r="P45" s="24" t="s">
        <v>11</v>
      </c>
      <c r="Q45" s="24" t="s">
        <v>11</v>
      </c>
      <c r="R45" s="24" t="s">
        <v>11</v>
      </c>
      <c r="S45" s="24" t="s">
        <v>11</v>
      </c>
      <c r="T45" s="23" t="s">
        <v>11</v>
      </c>
      <c r="U45" s="23" t="s">
        <v>11</v>
      </c>
      <c r="V45" s="25"/>
      <c r="W45" s="26" t="s">
        <v>11</v>
      </c>
      <c r="X45" s="27" t="s">
        <v>11</v>
      </c>
      <c r="Y45" s="41" t="s">
        <v>291</v>
      </c>
      <c r="Z45" s="41" t="s">
        <v>291</v>
      </c>
      <c r="AA45" s="26" t="s">
        <v>11</v>
      </c>
      <c r="AB45" s="26" t="s">
        <v>11</v>
      </c>
      <c r="AC45" s="26" t="s">
        <v>11</v>
      </c>
      <c r="AD45" s="26" t="s">
        <v>11</v>
      </c>
      <c r="AE45" s="26" t="s">
        <v>11</v>
      </c>
      <c r="AF45" s="26" t="s">
        <v>11</v>
      </c>
      <c r="AG45" s="26" t="s">
        <v>11</v>
      </c>
    </row>
    <row r="46" spans="2:33" ht="20" x14ac:dyDescent="0.35">
      <c r="B46" s="21" t="s">
        <v>5</v>
      </c>
      <c r="C46" s="58" t="s">
        <v>30</v>
      </c>
      <c r="D46" s="21" t="s">
        <v>111</v>
      </c>
      <c r="E46" s="21">
        <v>2</v>
      </c>
      <c r="F46" s="43" t="s">
        <v>290</v>
      </c>
      <c r="G46" s="43" t="s">
        <v>290</v>
      </c>
      <c r="H46" s="23" t="s">
        <v>11</v>
      </c>
      <c r="I46" s="23" t="s">
        <v>11</v>
      </c>
      <c r="J46" s="23" t="s">
        <v>11</v>
      </c>
      <c r="K46" s="23" t="s">
        <v>11</v>
      </c>
      <c r="L46" s="23" t="s">
        <v>11</v>
      </c>
      <c r="M46" s="23" t="s">
        <v>11</v>
      </c>
      <c r="N46" s="23" t="s">
        <v>11</v>
      </c>
      <c r="O46" s="23" t="s">
        <v>11</v>
      </c>
      <c r="P46" s="23" t="s">
        <v>11</v>
      </c>
      <c r="Q46" s="23" t="s">
        <v>11</v>
      </c>
      <c r="R46" s="23" t="s">
        <v>11</v>
      </c>
      <c r="S46" s="23" t="s">
        <v>11</v>
      </c>
      <c r="T46" s="23" t="s">
        <v>11</v>
      </c>
      <c r="U46" s="23" t="s">
        <v>11</v>
      </c>
      <c r="V46" s="25"/>
      <c r="W46" s="41" t="s">
        <v>291</v>
      </c>
      <c r="X46" s="27" t="s">
        <v>11</v>
      </c>
      <c r="Y46" s="41" t="s">
        <v>290</v>
      </c>
      <c r="Z46" s="41" t="s">
        <v>290</v>
      </c>
      <c r="AA46" s="41" t="s">
        <v>290</v>
      </c>
      <c r="AB46" s="26" t="s">
        <v>11</v>
      </c>
      <c r="AC46" s="26" t="s">
        <v>11</v>
      </c>
      <c r="AD46" s="26" t="s">
        <v>11</v>
      </c>
      <c r="AE46" s="26" t="s">
        <v>11</v>
      </c>
      <c r="AF46" s="26" t="s">
        <v>11</v>
      </c>
      <c r="AG46" s="26" t="s">
        <v>11</v>
      </c>
    </row>
    <row r="47" spans="2:33" ht="30" x14ac:dyDescent="0.35">
      <c r="B47" s="21" t="s">
        <v>8</v>
      </c>
      <c r="C47" s="58" t="s">
        <v>30</v>
      </c>
      <c r="D47" s="21" t="s">
        <v>111</v>
      </c>
      <c r="E47" s="21">
        <v>1</v>
      </c>
      <c r="F47" s="23" t="s">
        <v>11</v>
      </c>
      <c r="G47" s="23" t="s">
        <v>11</v>
      </c>
      <c r="H47" s="43" t="s">
        <v>292</v>
      </c>
      <c r="I47" s="23" t="s">
        <v>11</v>
      </c>
      <c r="J47" s="23" t="s">
        <v>11</v>
      </c>
      <c r="K47" s="23" t="s">
        <v>11</v>
      </c>
      <c r="L47" s="23" t="s">
        <v>11</v>
      </c>
      <c r="M47" s="23" t="s">
        <v>11</v>
      </c>
      <c r="N47" s="24" t="s">
        <v>11</v>
      </c>
      <c r="O47" s="24" t="s">
        <v>11</v>
      </c>
      <c r="P47" s="24" t="s">
        <v>11</v>
      </c>
      <c r="Q47" s="24" t="s">
        <v>11</v>
      </c>
      <c r="R47" s="24" t="s">
        <v>11</v>
      </c>
      <c r="S47" s="24" t="s">
        <v>11</v>
      </c>
      <c r="T47" s="23" t="s">
        <v>11</v>
      </c>
      <c r="U47" s="23" t="s">
        <v>11</v>
      </c>
      <c r="V47" s="25"/>
      <c r="W47" s="26" t="s">
        <v>11</v>
      </c>
      <c r="X47" s="27" t="s">
        <v>11</v>
      </c>
      <c r="Y47" s="26" t="s">
        <v>11</v>
      </c>
      <c r="Z47" s="26" t="s">
        <v>11</v>
      </c>
      <c r="AA47" s="26" t="s">
        <v>11</v>
      </c>
      <c r="AB47" s="26" t="s">
        <v>11</v>
      </c>
      <c r="AC47" s="26" t="s">
        <v>11</v>
      </c>
      <c r="AD47" s="26" t="s">
        <v>11</v>
      </c>
      <c r="AE47" s="26" t="s">
        <v>11</v>
      </c>
      <c r="AF47" s="26" t="s">
        <v>11</v>
      </c>
      <c r="AG47" s="26" t="s">
        <v>11</v>
      </c>
    </row>
    <row r="48" spans="2:33" ht="20" x14ac:dyDescent="0.35">
      <c r="B48" s="21" t="s">
        <v>59</v>
      </c>
      <c r="C48" s="58" t="s">
        <v>30</v>
      </c>
      <c r="D48" s="21" t="s">
        <v>21</v>
      </c>
      <c r="E48" s="21">
        <v>1</v>
      </c>
      <c r="F48" s="24" t="s">
        <v>11</v>
      </c>
      <c r="G48" s="24" t="s">
        <v>11</v>
      </c>
      <c r="H48" s="24" t="s">
        <v>11</v>
      </c>
      <c r="I48" s="24" t="s">
        <v>11</v>
      </c>
      <c r="J48" s="24" t="s">
        <v>11</v>
      </c>
      <c r="K48" s="24" t="s">
        <v>11</v>
      </c>
      <c r="L48" s="24" t="s">
        <v>11</v>
      </c>
      <c r="M48" s="24" t="s">
        <v>11</v>
      </c>
      <c r="N48" s="43" t="s">
        <v>290</v>
      </c>
      <c r="O48" s="24" t="s">
        <v>11</v>
      </c>
      <c r="P48" s="24" t="s">
        <v>11</v>
      </c>
      <c r="Q48" s="24" t="s">
        <v>11</v>
      </c>
      <c r="R48" s="24" t="s">
        <v>11</v>
      </c>
      <c r="S48" s="24" t="s">
        <v>11</v>
      </c>
      <c r="T48" s="24" t="s">
        <v>11</v>
      </c>
      <c r="U48" s="24" t="s">
        <v>11</v>
      </c>
      <c r="V48" s="25"/>
      <c r="W48" s="26" t="s">
        <v>11</v>
      </c>
      <c r="X48" s="26" t="s">
        <v>11</v>
      </c>
      <c r="Y48" s="41" t="s">
        <v>291</v>
      </c>
      <c r="Z48" s="26" t="s">
        <v>11</v>
      </c>
      <c r="AA48" s="26" t="s">
        <v>11</v>
      </c>
      <c r="AB48" s="26" t="s">
        <v>11</v>
      </c>
      <c r="AC48" s="26" t="s">
        <v>11</v>
      </c>
      <c r="AD48" s="26" t="s">
        <v>11</v>
      </c>
      <c r="AE48" s="26" t="s">
        <v>11</v>
      </c>
      <c r="AF48" s="41" t="s">
        <v>291</v>
      </c>
      <c r="AG48" s="26" t="s">
        <v>11</v>
      </c>
    </row>
    <row r="49" spans="2:33" ht="20" x14ac:dyDescent="0.35">
      <c r="B49" s="21" t="s">
        <v>62</v>
      </c>
      <c r="C49" s="58" t="s">
        <v>30</v>
      </c>
      <c r="D49" s="21" t="s">
        <v>21</v>
      </c>
      <c r="E49" s="21">
        <v>30</v>
      </c>
      <c r="F49" s="24" t="s">
        <v>11</v>
      </c>
      <c r="G49" s="24" t="s">
        <v>11</v>
      </c>
      <c r="H49" s="24" t="s">
        <v>11</v>
      </c>
      <c r="I49" s="24" t="s">
        <v>11</v>
      </c>
      <c r="J49" s="24" t="s">
        <v>11</v>
      </c>
      <c r="K49" s="24" t="s">
        <v>11</v>
      </c>
      <c r="L49" s="24" t="s">
        <v>11</v>
      </c>
      <c r="M49" s="24" t="s">
        <v>11</v>
      </c>
      <c r="N49" s="43" t="s">
        <v>290</v>
      </c>
      <c r="O49" s="24" t="s">
        <v>11</v>
      </c>
      <c r="P49" s="24" t="s">
        <v>11</v>
      </c>
      <c r="Q49" s="24" t="s">
        <v>11</v>
      </c>
      <c r="R49" s="24" t="s">
        <v>11</v>
      </c>
      <c r="S49" s="24" t="s">
        <v>11</v>
      </c>
      <c r="T49" s="24" t="s">
        <v>11</v>
      </c>
      <c r="U49" s="24" t="s">
        <v>11</v>
      </c>
      <c r="V49" s="25"/>
      <c r="W49" s="26" t="s">
        <v>11</v>
      </c>
      <c r="X49" s="26" t="s">
        <v>11</v>
      </c>
      <c r="Y49" s="26" t="s">
        <v>11</v>
      </c>
      <c r="Z49" s="26" t="s">
        <v>11</v>
      </c>
      <c r="AA49" s="26" t="s">
        <v>11</v>
      </c>
      <c r="AB49" s="26" t="s">
        <v>11</v>
      </c>
      <c r="AC49" s="26" t="s">
        <v>11</v>
      </c>
      <c r="AD49" s="26" t="s">
        <v>11</v>
      </c>
      <c r="AE49" s="26" t="s">
        <v>11</v>
      </c>
      <c r="AF49" s="26" t="s">
        <v>11</v>
      </c>
      <c r="AG49" s="26" t="s">
        <v>11</v>
      </c>
    </row>
    <row r="50" spans="2:33" ht="20" x14ac:dyDescent="0.35">
      <c r="B50" s="21" t="s">
        <v>65</v>
      </c>
      <c r="C50" s="58" t="s">
        <v>30</v>
      </c>
      <c r="D50" s="21" t="s">
        <v>21</v>
      </c>
      <c r="E50" s="21">
        <v>5</v>
      </c>
      <c r="F50" s="24" t="s">
        <v>11</v>
      </c>
      <c r="G50" s="24" t="s">
        <v>11</v>
      </c>
      <c r="H50" s="24" t="s">
        <v>11</v>
      </c>
      <c r="I50" s="24" t="s">
        <v>11</v>
      </c>
      <c r="J50" s="24" t="s">
        <v>11</v>
      </c>
      <c r="K50" s="24" t="s">
        <v>11</v>
      </c>
      <c r="L50" s="24" t="s">
        <v>11</v>
      </c>
      <c r="M50" s="24" t="s">
        <v>11</v>
      </c>
      <c r="N50" s="24" t="s">
        <v>11</v>
      </c>
      <c r="O50" s="24" t="s">
        <v>11</v>
      </c>
      <c r="P50" s="24" t="s">
        <v>11</v>
      </c>
      <c r="Q50" s="24" t="s">
        <v>11</v>
      </c>
      <c r="R50" s="24" t="s">
        <v>11</v>
      </c>
      <c r="S50" s="24" t="s">
        <v>11</v>
      </c>
      <c r="T50" s="23" t="s">
        <v>11</v>
      </c>
      <c r="U50" s="23" t="s">
        <v>11</v>
      </c>
      <c r="V50" s="25"/>
      <c r="W50" s="26" t="s">
        <v>11</v>
      </c>
      <c r="X50" s="26" t="s">
        <v>11</v>
      </c>
      <c r="Y50" s="26" t="s">
        <v>11</v>
      </c>
      <c r="Z50" s="26" t="s">
        <v>11</v>
      </c>
      <c r="AA50" s="26" t="s">
        <v>11</v>
      </c>
      <c r="AB50" s="26" t="s">
        <v>11</v>
      </c>
      <c r="AC50" s="26" t="s">
        <v>11</v>
      </c>
      <c r="AD50" s="26" t="s">
        <v>11</v>
      </c>
      <c r="AE50" s="26" t="s">
        <v>11</v>
      </c>
      <c r="AF50" s="26" t="s">
        <v>11</v>
      </c>
      <c r="AG50" s="41" t="s">
        <v>290</v>
      </c>
    </row>
    <row r="51" spans="2:33" x14ac:dyDescent="0.35">
      <c r="B51" s="21" t="s">
        <v>42</v>
      </c>
      <c r="C51" s="58" t="s">
        <v>30</v>
      </c>
      <c r="D51" s="21" t="s">
        <v>21</v>
      </c>
      <c r="E51" s="21">
        <v>2</v>
      </c>
      <c r="F51" s="23" t="s">
        <v>11</v>
      </c>
      <c r="G51" s="23" t="s">
        <v>11</v>
      </c>
      <c r="H51" s="23" t="s">
        <v>11</v>
      </c>
      <c r="I51" s="23" t="s">
        <v>11</v>
      </c>
      <c r="J51" s="23" t="s">
        <v>11</v>
      </c>
      <c r="K51" s="23" t="s">
        <v>11</v>
      </c>
      <c r="L51" s="23" t="s">
        <v>11</v>
      </c>
      <c r="M51" s="23" t="s">
        <v>11</v>
      </c>
      <c r="N51" s="23" t="s">
        <v>11</v>
      </c>
      <c r="O51" s="43" t="s">
        <v>290</v>
      </c>
      <c r="P51" s="43" t="s">
        <v>290</v>
      </c>
      <c r="Q51" s="43" t="s">
        <v>290</v>
      </c>
      <c r="R51" s="43" t="s">
        <v>290</v>
      </c>
      <c r="S51" s="43" t="s">
        <v>290</v>
      </c>
      <c r="T51" s="23" t="s">
        <v>11</v>
      </c>
      <c r="U51" s="23" t="s">
        <v>11</v>
      </c>
      <c r="V51" s="25"/>
      <c r="W51" s="26" t="s">
        <v>11</v>
      </c>
      <c r="X51" s="26" t="s">
        <v>11</v>
      </c>
      <c r="Y51" s="26" t="s">
        <v>11</v>
      </c>
      <c r="Z51" s="26" t="s">
        <v>11</v>
      </c>
      <c r="AA51" s="26" t="s">
        <v>11</v>
      </c>
      <c r="AB51" s="26" t="s">
        <v>11</v>
      </c>
      <c r="AC51" s="41" t="s">
        <v>291</v>
      </c>
      <c r="AD51" s="41" t="s">
        <v>291</v>
      </c>
      <c r="AE51" s="41" t="s">
        <v>291</v>
      </c>
      <c r="AF51" s="26" t="s">
        <v>11</v>
      </c>
      <c r="AG51" s="26" t="s">
        <v>11</v>
      </c>
    </row>
    <row r="52" spans="2:33" x14ac:dyDescent="0.35">
      <c r="B52" s="21" t="s">
        <v>52</v>
      </c>
      <c r="C52" s="58" t="s">
        <v>30</v>
      </c>
      <c r="D52" s="21" t="s">
        <v>21</v>
      </c>
      <c r="E52" s="21">
        <v>20</v>
      </c>
      <c r="F52" s="24" t="s">
        <v>11</v>
      </c>
      <c r="G52" s="24" t="s">
        <v>11</v>
      </c>
      <c r="H52" s="24" t="s">
        <v>11</v>
      </c>
      <c r="I52" s="24" t="s">
        <v>11</v>
      </c>
      <c r="J52" s="24" t="s">
        <v>11</v>
      </c>
      <c r="K52" s="24" t="s">
        <v>11</v>
      </c>
      <c r="L52" s="24" t="s">
        <v>11</v>
      </c>
      <c r="M52" s="24" t="s">
        <v>11</v>
      </c>
      <c r="N52" s="24" t="s">
        <v>11</v>
      </c>
      <c r="O52" s="24" t="s">
        <v>11</v>
      </c>
      <c r="P52" s="43" t="s">
        <v>290</v>
      </c>
      <c r="Q52" s="24" t="s">
        <v>11</v>
      </c>
      <c r="R52" s="24" t="s">
        <v>11</v>
      </c>
      <c r="S52" s="24" t="s">
        <v>11</v>
      </c>
      <c r="T52" s="43" t="s">
        <v>290</v>
      </c>
      <c r="U52" s="43" t="s">
        <v>290</v>
      </c>
      <c r="V52" s="25"/>
      <c r="W52" s="26" t="s">
        <v>11</v>
      </c>
      <c r="X52" s="26" t="s">
        <v>11</v>
      </c>
      <c r="Y52" s="26" t="s">
        <v>11</v>
      </c>
      <c r="Z52" s="26" t="s">
        <v>11</v>
      </c>
      <c r="AA52" s="26" t="s">
        <v>11</v>
      </c>
      <c r="AB52" s="26" t="s">
        <v>11</v>
      </c>
      <c r="AC52" s="26" t="s">
        <v>11</v>
      </c>
      <c r="AD52" s="26" t="s">
        <v>11</v>
      </c>
      <c r="AE52" s="26" t="s">
        <v>11</v>
      </c>
      <c r="AF52" s="26" t="s">
        <v>11</v>
      </c>
      <c r="AG52" s="26" t="s">
        <v>11</v>
      </c>
    </row>
    <row r="53" spans="2:33" ht="30" x14ac:dyDescent="0.35">
      <c r="B53" s="21" t="s">
        <v>33</v>
      </c>
      <c r="C53" s="58" t="s">
        <v>30</v>
      </c>
      <c r="D53" s="21" t="s">
        <v>111</v>
      </c>
      <c r="E53" s="21">
        <v>4</v>
      </c>
      <c r="F53" s="23" t="s">
        <v>11</v>
      </c>
      <c r="G53" s="23" t="s">
        <v>11</v>
      </c>
      <c r="H53" s="23" t="s">
        <v>11</v>
      </c>
      <c r="I53" s="42" t="s">
        <v>292</v>
      </c>
      <c r="J53" s="23" t="s">
        <v>11</v>
      </c>
      <c r="K53" s="23" t="s">
        <v>11</v>
      </c>
      <c r="L53" s="23" t="s">
        <v>11</v>
      </c>
      <c r="M53" s="23" t="s">
        <v>11</v>
      </c>
      <c r="N53" s="24" t="s">
        <v>11</v>
      </c>
      <c r="O53" s="24" t="s">
        <v>11</v>
      </c>
      <c r="P53" s="24" t="s">
        <v>11</v>
      </c>
      <c r="Q53" s="24" t="s">
        <v>11</v>
      </c>
      <c r="R53" s="24" t="s">
        <v>11</v>
      </c>
      <c r="S53" s="24" t="s">
        <v>11</v>
      </c>
      <c r="T53" s="23" t="s">
        <v>11</v>
      </c>
      <c r="U53" s="23" t="s">
        <v>11</v>
      </c>
      <c r="V53" s="25"/>
      <c r="W53" s="26" t="s">
        <v>11</v>
      </c>
      <c r="X53" s="27" t="s">
        <v>11</v>
      </c>
      <c r="Y53" s="26" t="s">
        <v>11</v>
      </c>
      <c r="Z53" s="26" t="s">
        <v>11</v>
      </c>
      <c r="AA53" s="26" t="s">
        <v>11</v>
      </c>
      <c r="AB53" s="26" t="s">
        <v>11</v>
      </c>
      <c r="AC53" s="26" t="s">
        <v>11</v>
      </c>
      <c r="AD53" s="26" t="s">
        <v>11</v>
      </c>
      <c r="AE53" s="26" t="s">
        <v>11</v>
      </c>
      <c r="AF53" s="26" t="s">
        <v>11</v>
      </c>
      <c r="AG53" s="26" t="s">
        <v>11</v>
      </c>
    </row>
    <row r="54" spans="2:33" ht="20" x14ac:dyDescent="0.35">
      <c r="B54" s="21" t="s">
        <v>17</v>
      </c>
      <c r="C54" s="58" t="s">
        <v>30</v>
      </c>
      <c r="D54" s="21" t="s">
        <v>21</v>
      </c>
      <c r="E54" s="21">
        <v>1</v>
      </c>
      <c r="F54" s="23" t="s">
        <v>11</v>
      </c>
      <c r="G54" s="23" t="s">
        <v>11</v>
      </c>
      <c r="H54" s="23" t="s">
        <v>11</v>
      </c>
      <c r="I54" s="23" t="s">
        <v>11</v>
      </c>
      <c r="J54" s="42" t="s">
        <v>290</v>
      </c>
      <c r="K54" s="42" t="s">
        <v>290</v>
      </c>
      <c r="L54" s="42" t="s">
        <v>290</v>
      </c>
      <c r="M54" s="42" t="s">
        <v>290</v>
      </c>
      <c r="N54" s="24" t="s">
        <v>11</v>
      </c>
      <c r="O54" s="24" t="s">
        <v>11</v>
      </c>
      <c r="P54" s="24" t="s">
        <v>11</v>
      </c>
      <c r="Q54" s="24" t="s">
        <v>11</v>
      </c>
      <c r="R54" s="24" t="s">
        <v>11</v>
      </c>
      <c r="S54" s="24" t="s">
        <v>11</v>
      </c>
      <c r="T54" s="23" t="s">
        <v>11</v>
      </c>
      <c r="U54" s="23" t="s">
        <v>11</v>
      </c>
      <c r="V54" s="25"/>
      <c r="W54" s="41" t="s">
        <v>291</v>
      </c>
      <c r="X54" s="26" t="s">
        <v>11</v>
      </c>
      <c r="Y54" s="41" t="s">
        <v>291</v>
      </c>
      <c r="Z54" s="41" t="s">
        <v>291</v>
      </c>
      <c r="AA54" s="26" t="s">
        <v>11</v>
      </c>
      <c r="AB54" s="41" t="s">
        <v>291</v>
      </c>
      <c r="AC54" s="26" t="s">
        <v>11</v>
      </c>
      <c r="AD54" s="26" t="s">
        <v>11</v>
      </c>
      <c r="AE54" s="26" t="s">
        <v>11</v>
      </c>
      <c r="AF54" s="26" t="s">
        <v>11</v>
      </c>
      <c r="AG54" s="26" t="s">
        <v>11</v>
      </c>
    </row>
    <row r="55" spans="2:33" x14ac:dyDescent="0.35">
      <c r="E55" s="12">
        <f>SUM(E44:E54)</f>
        <v>68</v>
      </c>
    </row>
    <row r="57" spans="2:33" x14ac:dyDescent="0.35">
      <c r="F57" s="16" t="s">
        <v>129</v>
      </c>
      <c r="H57" s="17" t="s">
        <v>130</v>
      </c>
      <c r="I57" s="18"/>
      <c r="J57" s="18"/>
      <c r="K57" s="18"/>
      <c r="L57" s="18"/>
    </row>
    <row r="58" spans="2:33" ht="30" x14ac:dyDescent="0.35">
      <c r="B58" s="30" t="s">
        <v>2</v>
      </c>
      <c r="C58" s="30" t="s">
        <v>81</v>
      </c>
      <c r="D58" s="30" t="s">
        <v>27</v>
      </c>
      <c r="E58" s="30" t="s">
        <v>28</v>
      </c>
      <c r="F58" s="20" t="s">
        <v>15</v>
      </c>
      <c r="G58" s="33"/>
      <c r="H58" s="20" t="s">
        <v>38</v>
      </c>
      <c r="I58" s="32" t="s">
        <v>131</v>
      </c>
      <c r="J58" s="20" t="s">
        <v>132</v>
      </c>
      <c r="K58" s="20" t="s">
        <v>39</v>
      </c>
      <c r="L58" s="20" t="s">
        <v>133</v>
      </c>
    </row>
    <row r="59" spans="2:33" ht="20" x14ac:dyDescent="0.35">
      <c r="B59" s="21" t="s">
        <v>0</v>
      </c>
      <c r="C59" s="58" t="s">
        <v>32</v>
      </c>
      <c r="D59" s="21" t="s">
        <v>111</v>
      </c>
      <c r="E59" s="21">
        <v>1</v>
      </c>
      <c r="F59" s="43" t="s">
        <v>292</v>
      </c>
      <c r="G59" s="25"/>
      <c r="H59" s="41" t="s">
        <v>290</v>
      </c>
      <c r="I59" s="41" t="s">
        <v>290</v>
      </c>
      <c r="J59" s="41" t="s">
        <v>290</v>
      </c>
      <c r="K59" s="41" t="s">
        <v>290</v>
      </c>
      <c r="L59" s="41" t="s">
        <v>290</v>
      </c>
    </row>
    <row r="60" spans="2:33" x14ac:dyDescent="0.35">
      <c r="E60" s="12">
        <v>1</v>
      </c>
    </row>
    <row r="62" spans="2:33" x14ac:dyDescent="0.35">
      <c r="F62" s="16" t="s">
        <v>129</v>
      </c>
      <c r="G62" s="16"/>
      <c r="I62" s="17" t="s">
        <v>130</v>
      </c>
      <c r="J62" s="19"/>
    </row>
    <row r="63" spans="2:33" ht="42" x14ac:dyDescent="0.35">
      <c r="B63" s="30" t="s">
        <v>2</v>
      </c>
      <c r="C63" s="30" t="s">
        <v>81</v>
      </c>
      <c r="D63" s="30" t="s">
        <v>27</v>
      </c>
      <c r="E63" s="30" t="s">
        <v>28</v>
      </c>
      <c r="F63" s="32" t="s">
        <v>40</v>
      </c>
      <c r="G63" s="38" t="s">
        <v>194</v>
      </c>
      <c r="H63" s="33"/>
      <c r="I63" s="20" t="s">
        <v>132</v>
      </c>
      <c r="J63" s="38" t="s">
        <v>194</v>
      </c>
    </row>
    <row r="64" spans="2:33" ht="20" x14ac:dyDescent="0.35">
      <c r="B64" s="21" t="s">
        <v>55</v>
      </c>
      <c r="C64" s="58" t="s">
        <v>82</v>
      </c>
      <c r="D64" s="21" t="s">
        <v>21</v>
      </c>
      <c r="E64" s="21">
        <v>2</v>
      </c>
      <c r="F64" s="23" t="s">
        <v>11</v>
      </c>
      <c r="G64" s="43" t="s">
        <v>290</v>
      </c>
      <c r="H64" s="25"/>
      <c r="I64" s="26" t="s">
        <v>11</v>
      </c>
      <c r="J64" s="41" t="s">
        <v>291</v>
      </c>
    </row>
    <row r="65" spans="2:10" ht="20" x14ac:dyDescent="0.35">
      <c r="B65" s="21" t="s">
        <v>57</v>
      </c>
      <c r="C65" s="58" t="s">
        <v>82</v>
      </c>
      <c r="D65" s="21" t="s">
        <v>21</v>
      </c>
      <c r="E65" s="21">
        <v>2</v>
      </c>
      <c r="F65" s="23" t="s">
        <v>11</v>
      </c>
      <c r="G65" s="43" t="s">
        <v>290</v>
      </c>
      <c r="H65" s="25"/>
      <c r="I65" s="26" t="s">
        <v>11</v>
      </c>
      <c r="J65" s="41" t="s">
        <v>291</v>
      </c>
    </row>
    <row r="66" spans="2:10" ht="20" x14ac:dyDescent="0.35">
      <c r="B66" s="21" t="s">
        <v>60</v>
      </c>
      <c r="C66" s="58" t="s">
        <v>82</v>
      </c>
      <c r="D66" s="21" t="s">
        <v>21</v>
      </c>
      <c r="E66" s="21">
        <v>1</v>
      </c>
      <c r="F66" s="43" t="s">
        <v>290</v>
      </c>
      <c r="G66" s="43" t="s">
        <v>290</v>
      </c>
      <c r="H66" s="25"/>
      <c r="I66" s="41" t="s">
        <v>291</v>
      </c>
      <c r="J66" s="41" t="s">
        <v>291</v>
      </c>
    </row>
    <row r="67" spans="2:10" ht="20" x14ac:dyDescent="0.35">
      <c r="B67" s="21" t="s">
        <v>64</v>
      </c>
      <c r="C67" s="58" t="s">
        <v>82</v>
      </c>
      <c r="D67" s="21" t="s">
        <v>21</v>
      </c>
      <c r="E67" s="21">
        <v>10</v>
      </c>
      <c r="F67" s="24" t="s">
        <v>11</v>
      </c>
      <c r="G67" s="43" t="s">
        <v>290</v>
      </c>
      <c r="H67" s="25"/>
      <c r="I67" s="26" t="s">
        <v>11</v>
      </c>
      <c r="J67" s="26" t="s">
        <v>11</v>
      </c>
    </row>
    <row r="68" spans="2:10" x14ac:dyDescent="0.35">
      <c r="E68" s="12">
        <f>SUM(E64:E67)</f>
        <v>15</v>
      </c>
    </row>
  </sheetData>
  <autoFilter ref="B2:AI25" xr:uid="{6D07C630-53D1-47C5-88A7-D1C20C9CCABF}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798F8B-217E-4BC8-95CE-9C12E05E6139}">
  <sheetPr filterMode="1"/>
  <dimension ref="B1:AI25"/>
  <sheetViews>
    <sheetView workbookViewId="0">
      <selection activeCell="B1" sqref="B1:AI18"/>
    </sheetView>
  </sheetViews>
  <sheetFormatPr defaultRowHeight="14.5" x14ac:dyDescent="0.35"/>
  <cols>
    <col min="3" max="3" width="15.54296875" customWidth="1"/>
    <col min="24" max="24" width="4.453125" customWidth="1"/>
  </cols>
  <sheetData>
    <row r="1" spans="2:35" x14ac:dyDescent="0.35">
      <c r="F1" s="16" t="s">
        <v>129</v>
      </c>
      <c r="G1" s="16"/>
      <c r="H1" s="16"/>
      <c r="I1" s="16"/>
      <c r="J1" s="16"/>
      <c r="K1" s="16"/>
      <c r="L1" s="16"/>
      <c r="M1" s="16"/>
      <c r="N1" s="16"/>
      <c r="O1" s="16"/>
      <c r="P1" s="16"/>
      <c r="Q1" s="16"/>
      <c r="R1" s="16"/>
      <c r="S1" s="16"/>
      <c r="T1" s="16"/>
      <c r="U1" s="16"/>
      <c r="V1" s="16"/>
      <c r="W1" s="16"/>
      <c r="Y1" s="17" t="s">
        <v>130</v>
      </c>
      <c r="Z1" s="18"/>
      <c r="AA1" s="18"/>
      <c r="AB1" s="18"/>
      <c r="AC1" s="18"/>
      <c r="AD1" s="18"/>
      <c r="AE1" s="19"/>
      <c r="AF1" s="19"/>
      <c r="AG1" s="19"/>
      <c r="AH1" s="19"/>
      <c r="AI1" s="19"/>
    </row>
    <row r="2" spans="2:35" ht="80" x14ac:dyDescent="0.35">
      <c r="B2" s="30" t="s">
        <v>2</v>
      </c>
      <c r="C2" s="30" t="s">
        <v>81</v>
      </c>
      <c r="D2" s="30" t="s">
        <v>27</v>
      </c>
      <c r="E2" s="30" t="s">
        <v>28</v>
      </c>
      <c r="F2" s="20" t="s">
        <v>15</v>
      </c>
      <c r="G2" s="20" t="s">
        <v>138</v>
      </c>
      <c r="H2" s="20" t="s">
        <v>14</v>
      </c>
      <c r="I2" s="20" t="s">
        <v>35</v>
      </c>
      <c r="J2" s="20" t="s">
        <v>38</v>
      </c>
      <c r="K2" s="20" t="s">
        <v>139</v>
      </c>
      <c r="L2" s="32" t="s">
        <v>40</v>
      </c>
      <c r="M2" s="32" t="s">
        <v>135</v>
      </c>
      <c r="N2" s="38" t="s">
        <v>194</v>
      </c>
      <c r="O2" s="20" t="s">
        <v>44</v>
      </c>
      <c r="P2" s="20" t="s">
        <v>45</v>
      </c>
      <c r="Q2" s="20" t="s">
        <v>46</v>
      </c>
      <c r="R2" s="20" t="s">
        <v>47</v>
      </c>
      <c r="S2" s="20" t="s">
        <v>48</v>
      </c>
      <c r="T2" s="20" t="s">
        <v>54</v>
      </c>
      <c r="U2" s="20" t="s">
        <v>86</v>
      </c>
      <c r="V2" s="20" t="s">
        <v>136</v>
      </c>
      <c r="W2" s="20" t="s">
        <v>137</v>
      </c>
      <c r="X2" s="33"/>
      <c r="Y2" s="20" t="s">
        <v>38</v>
      </c>
      <c r="Z2" s="32" t="s">
        <v>131</v>
      </c>
      <c r="AA2" s="20" t="s">
        <v>132</v>
      </c>
      <c r="AB2" s="20" t="s">
        <v>39</v>
      </c>
      <c r="AC2" s="20" t="s">
        <v>133</v>
      </c>
      <c r="AD2" s="32" t="s">
        <v>134</v>
      </c>
      <c r="AE2" s="20" t="s">
        <v>49</v>
      </c>
      <c r="AF2" s="20" t="s">
        <v>50</v>
      </c>
      <c r="AG2" s="20" t="s">
        <v>51</v>
      </c>
      <c r="AH2" s="38" t="s">
        <v>194</v>
      </c>
      <c r="AI2" s="34" t="s">
        <v>241</v>
      </c>
    </row>
    <row r="3" spans="2:35" hidden="1" x14ac:dyDescent="0.35">
      <c r="B3" s="21" t="s">
        <v>66</v>
      </c>
      <c r="C3" s="21" t="s">
        <v>83</v>
      </c>
      <c r="D3" s="21" t="s">
        <v>21</v>
      </c>
      <c r="E3" s="21">
        <v>5</v>
      </c>
      <c r="F3" s="24" t="s">
        <v>11</v>
      </c>
      <c r="G3" s="24" t="s">
        <v>11</v>
      </c>
      <c r="H3" s="24" t="s">
        <v>11</v>
      </c>
      <c r="I3" s="24" t="s">
        <v>11</v>
      </c>
      <c r="J3" s="24" t="s">
        <v>11</v>
      </c>
      <c r="K3" s="24" t="s">
        <v>11</v>
      </c>
      <c r="L3" s="42" t="s">
        <v>290</v>
      </c>
      <c r="M3" s="24" t="s">
        <v>11</v>
      </c>
      <c r="N3" s="24" t="s">
        <v>11</v>
      </c>
      <c r="O3" s="24" t="s">
        <v>11</v>
      </c>
      <c r="P3" s="24" t="s">
        <v>11</v>
      </c>
      <c r="Q3" s="24" t="s">
        <v>11</v>
      </c>
      <c r="R3" s="24" t="s">
        <v>11</v>
      </c>
      <c r="S3" s="24" t="s">
        <v>11</v>
      </c>
      <c r="T3" s="24" t="s">
        <v>11</v>
      </c>
      <c r="U3" s="24" t="s">
        <v>11</v>
      </c>
      <c r="V3" s="42" t="s">
        <v>290</v>
      </c>
      <c r="W3" s="42" t="s">
        <v>290</v>
      </c>
      <c r="X3" s="25"/>
      <c r="Y3" s="26" t="s">
        <v>11</v>
      </c>
      <c r="Z3" s="26" t="s">
        <v>11</v>
      </c>
      <c r="AA3" s="41" t="s">
        <v>291</v>
      </c>
      <c r="AB3" s="26" t="s">
        <v>11</v>
      </c>
      <c r="AC3" s="26" t="s">
        <v>11</v>
      </c>
      <c r="AD3" s="26" t="s">
        <v>11</v>
      </c>
      <c r="AE3" s="26" t="s">
        <v>11</v>
      </c>
      <c r="AF3" s="26" t="s">
        <v>11</v>
      </c>
      <c r="AG3" s="26" t="s">
        <v>11</v>
      </c>
      <c r="AH3" s="26" t="s">
        <v>11</v>
      </c>
      <c r="AI3" s="26" t="s">
        <v>11</v>
      </c>
    </row>
    <row r="4" spans="2:35" ht="40" x14ac:dyDescent="0.35">
      <c r="B4" s="21" t="s">
        <v>19</v>
      </c>
      <c r="C4" s="21" t="s">
        <v>31</v>
      </c>
      <c r="D4" s="21" t="s">
        <v>16</v>
      </c>
      <c r="E4" s="21">
        <v>8</v>
      </c>
      <c r="F4" s="24" t="s">
        <v>11</v>
      </c>
      <c r="G4" s="24" t="s">
        <v>11</v>
      </c>
      <c r="H4" s="24" t="s">
        <v>11</v>
      </c>
      <c r="I4" s="24" t="s">
        <v>11</v>
      </c>
      <c r="J4" s="24" t="s">
        <v>11</v>
      </c>
      <c r="K4" s="24" t="s">
        <v>11</v>
      </c>
      <c r="L4" s="24" t="s">
        <v>11</v>
      </c>
      <c r="M4" s="24" t="s">
        <v>11</v>
      </c>
      <c r="N4" s="43" t="s">
        <v>290</v>
      </c>
      <c r="O4" s="24" t="s">
        <v>11</v>
      </c>
      <c r="P4" s="24" t="s">
        <v>11</v>
      </c>
      <c r="Q4" s="24" t="s">
        <v>11</v>
      </c>
      <c r="R4" s="24" t="s">
        <v>11</v>
      </c>
      <c r="S4" s="24" t="s">
        <v>11</v>
      </c>
      <c r="T4" s="23" t="s">
        <v>11</v>
      </c>
      <c r="U4" s="23" t="s">
        <v>11</v>
      </c>
      <c r="V4" s="23" t="s">
        <v>11</v>
      </c>
      <c r="W4" s="23" t="s">
        <v>11</v>
      </c>
      <c r="X4" s="25"/>
      <c r="Y4" s="27" t="s">
        <v>11</v>
      </c>
      <c r="Z4" s="27" t="s">
        <v>11</v>
      </c>
      <c r="AA4" s="27" t="s">
        <v>11</v>
      </c>
      <c r="AB4" s="27" t="s">
        <v>11</v>
      </c>
      <c r="AC4" s="27" t="s">
        <v>11</v>
      </c>
      <c r="AD4" s="26" t="s">
        <v>11</v>
      </c>
      <c r="AE4" s="26" t="s">
        <v>11</v>
      </c>
      <c r="AF4" s="26" t="s">
        <v>11</v>
      </c>
      <c r="AG4" s="26" t="s">
        <v>11</v>
      </c>
      <c r="AH4" s="41" t="s">
        <v>291</v>
      </c>
      <c r="AI4" s="26" t="s">
        <v>11</v>
      </c>
    </row>
    <row r="5" spans="2:35" ht="40" x14ac:dyDescent="0.35">
      <c r="B5" s="21" t="s">
        <v>19</v>
      </c>
      <c r="C5" s="21" t="s">
        <v>31</v>
      </c>
      <c r="D5" s="21" t="s">
        <v>24</v>
      </c>
      <c r="E5" s="21">
        <v>8</v>
      </c>
      <c r="F5" s="24" t="s">
        <v>11</v>
      </c>
      <c r="G5" s="24" t="s">
        <v>11</v>
      </c>
      <c r="H5" s="24" t="s">
        <v>11</v>
      </c>
      <c r="I5" s="24" t="s">
        <v>11</v>
      </c>
      <c r="J5" s="24" t="s">
        <v>11</v>
      </c>
      <c r="K5" s="24" t="s">
        <v>11</v>
      </c>
      <c r="L5" s="24" t="s">
        <v>11</v>
      </c>
      <c r="M5" s="24" t="s">
        <v>11</v>
      </c>
      <c r="N5" s="43" t="s">
        <v>290</v>
      </c>
      <c r="O5" s="24" t="s">
        <v>11</v>
      </c>
      <c r="P5" s="24" t="s">
        <v>11</v>
      </c>
      <c r="Q5" s="24" t="s">
        <v>11</v>
      </c>
      <c r="R5" s="24" t="s">
        <v>11</v>
      </c>
      <c r="S5" s="24" t="s">
        <v>11</v>
      </c>
      <c r="T5" s="23" t="s">
        <v>11</v>
      </c>
      <c r="U5" s="23" t="s">
        <v>11</v>
      </c>
      <c r="V5" s="23" t="s">
        <v>11</v>
      </c>
      <c r="W5" s="23" t="s">
        <v>11</v>
      </c>
      <c r="X5" s="25"/>
      <c r="Y5" s="27" t="s">
        <v>11</v>
      </c>
      <c r="Z5" s="27" t="s">
        <v>11</v>
      </c>
      <c r="AA5" s="27" t="s">
        <v>11</v>
      </c>
      <c r="AB5" s="27" t="s">
        <v>11</v>
      </c>
      <c r="AC5" s="27" t="s">
        <v>11</v>
      </c>
      <c r="AD5" s="26" t="s">
        <v>11</v>
      </c>
      <c r="AE5" s="26" t="s">
        <v>11</v>
      </c>
      <c r="AF5" s="26" t="s">
        <v>11</v>
      </c>
      <c r="AG5" s="26" t="s">
        <v>11</v>
      </c>
      <c r="AH5" s="41" t="s">
        <v>291</v>
      </c>
      <c r="AI5" s="26" t="s">
        <v>11</v>
      </c>
    </row>
    <row r="6" spans="2:35" ht="20" hidden="1" x14ac:dyDescent="0.35">
      <c r="B6" s="21" t="s">
        <v>18</v>
      </c>
      <c r="C6" s="21" t="s">
        <v>30</v>
      </c>
      <c r="D6" s="21" t="s">
        <v>16</v>
      </c>
      <c r="E6" s="21">
        <v>1</v>
      </c>
      <c r="F6" s="23" t="s">
        <v>11</v>
      </c>
      <c r="G6" s="23" t="s">
        <v>11</v>
      </c>
      <c r="H6" s="23" t="s">
        <v>11</v>
      </c>
      <c r="I6" s="23" t="s">
        <v>11</v>
      </c>
      <c r="J6" s="23" t="s">
        <v>11</v>
      </c>
      <c r="K6" s="23" t="s">
        <v>11</v>
      </c>
      <c r="L6" s="23" t="s">
        <v>11</v>
      </c>
      <c r="M6" s="23" t="s">
        <v>11</v>
      </c>
      <c r="N6" s="43" t="s">
        <v>290</v>
      </c>
      <c r="O6" s="24" t="s">
        <v>11</v>
      </c>
      <c r="P6" s="24" t="s">
        <v>11</v>
      </c>
      <c r="Q6" s="24" t="s">
        <v>11</v>
      </c>
      <c r="R6" s="24" t="s">
        <v>11</v>
      </c>
      <c r="S6" s="24" t="s">
        <v>11</v>
      </c>
      <c r="T6" s="23" t="s">
        <v>11</v>
      </c>
      <c r="U6" s="23" t="s">
        <v>11</v>
      </c>
      <c r="V6" s="23" t="s">
        <v>11</v>
      </c>
      <c r="W6" s="23" t="s">
        <v>11</v>
      </c>
      <c r="X6" s="25"/>
      <c r="Y6" s="26" t="s">
        <v>11</v>
      </c>
      <c r="Z6" s="27" t="s">
        <v>11</v>
      </c>
      <c r="AA6" s="41" t="s">
        <v>291</v>
      </c>
      <c r="AB6" s="41" t="s">
        <v>291</v>
      </c>
      <c r="AC6" s="26" t="s">
        <v>11</v>
      </c>
      <c r="AD6" s="26" t="s">
        <v>11</v>
      </c>
      <c r="AE6" s="26" t="s">
        <v>11</v>
      </c>
      <c r="AF6" s="26" t="s">
        <v>11</v>
      </c>
      <c r="AG6" s="26" t="s">
        <v>11</v>
      </c>
      <c r="AH6" s="26" t="s">
        <v>11</v>
      </c>
      <c r="AI6" s="26" t="s">
        <v>11</v>
      </c>
    </row>
    <row r="7" spans="2:35" ht="20" hidden="1" x14ac:dyDescent="0.35">
      <c r="B7" s="21" t="s">
        <v>18</v>
      </c>
      <c r="C7" s="21" t="s">
        <v>30</v>
      </c>
      <c r="D7" s="21" t="s">
        <v>21</v>
      </c>
      <c r="E7" s="21">
        <v>1</v>
      </c>
      <c r="F7" s="23" t="s">
        <v>11</v>
      </c>
      <c r="G7" s="23" t="s">
        <v>11</v>
      </c>
      <c r="H7" s="23" t="s">
        <v>11</v>
      </c>
      <c r="I7" s="23" t="s">
        <v>11</v>
      </c>
      <c r="J7" s="23" t="s">
        <v>11</v>
      </c>
      <c r="K7" s="23" t="s">
        <v>11</v>
      </c>
      <c r="L7" s="23" t="s">
        <v>11</v>
      </c>
      <c r="M7" s="23" t="s">
        <v>11</v>
      </c>
      <c r="N7" s="43" t="s">
        <v>290</v>
      </c>
      <c r="O7" s="24" t="s">
        <v>11</v>
      </c>
      <c r="P7" s="24" t="s">
        <v>11</v>
      </c>
      <c r="Q7" s="24" t="s">
        <v>11</v>
      </c>
      <c r="R7" s="24" t="s">
        <v>11</v>
      </c>
      <c r="S7" s="24" t="s">
        <v>11</v>
      </c>
      <c r="T7" s="23" t="s">
        <v>11</v>
      </c>
      <c r="U7" s="23" t="s">
        <v>11</v>
      </c>
      <c r="V7" s="23" t="s">
        <v>11</v>
      </c>
      <c r="W7" s="23" t="s">
        <v>11</v>
      </c>
      <c r="X7" s="25"/>
      <c r="Y7" s="26" t="s">
        <v>11</v>
      </c>
      <c r="Z7" s="27" t="s">
        <v>11</v>
      </c>
      <c r="AA7" s="41" t="s">
        <v>291</v>
      </c>
      <c r="AB7" s="41" t="s">
        <v>291</v>
      </c>
      <c r="AC7" s="26" t="s">
        <v>11</v>
      </c>
      <c r="AD7" s="26" t="s">
        <v>11</v>
      </c>
      <c r="AE7" s="26" t="s">
        <v>11</v>
      </c>
      <c r="AF7" s="26" t="s">
        <v>11</v>
      </c>
      <c r="AG7" s="26" t="s">
        <v>11</v>
      </c>
      <c r="AH7" s="26" t="s">
        <v>11</v>
      </c>
      <c r="AI7" s="26" t="s">
        <v>11</v>
      </c>
    </row>
    <row r="8" spans="2:35" ht="30" hidden="1" x14ac:dyDescent="0.35">
      <c r="B8" s="21" t="s">
        <v>55</v>
      </c>
      <c r="C8" s="21" t="s">
        <v>82</v>
      </c>
      <c r="D8" s="21" t="s">
        <v>21</v>
      </c>
      <c r="E8" s="21">
        <v>2</v>
      </c>
      <c r="F8" s="23" t="s">
        <v>11</v>
      </c>
      <c r="G8" s="23" t="s">
        <v>11</v>
      </c>
      <c r="H8" s="23" t="s">
        <v>11</v>
      </c>
      <c r="I8" s="23" t="s">
        <v>11</v>
      </c>
      <c r="J8" s="23" t="s">
        <v>11</v>
      </c>
      <c r="K8" s="23" t="s">
        <v>11</v>
      </c>
      <c r="L8" s="23" t="s">
        <v>11</v>
      </c>
      <c r="M8" s="23" t="s">
        <v>11</v>
      </c>
      <c r="N8" s="43" t="s">
        <v>290</v>
      </c>
      <c r="O8" s="24" t="s">
        <v>11</v>
      </c>
      <c r="P8" s="24" t="s">
        <v>11</v>
      </c>
      <c r="Q8" s="24" t="s">
        <v>11</v>
      </c>
      <c r="R8" s="24" t="s">
        <v>11</v>
      </c>
      <c r="S8" s="24" t="s">
        <v>11</v>
      </c>
      <c r="T8" s="23" t="s">
        <v>11</v>
      </c>
      <c r="U8" s="23" t="s">
        <v>11</v>
      </c>
      <c r="V8" s="23" t="s">
        <v>11</v>
      </c>
      <c r="W8" s="23" t="s">
        <v>11</v>
      </c>
      <c r="X8" s="25"/>
      <c r="Y8" s="26" t="s">
        <v>11</v>
      </c>
      <c r="Z8" s="26" t="s">
        <v>11</v>
      </c>
      <c r="AA8" s="26" t="s">
        <v>11</v>
      </c>
      <c r="AB8" s="26" t="s">
        <v>11</v>
      </c>
      <c r="AC8" s="26" t="s">
        <v>11</v>
      </c>
      <c r="AD8" s="26" t="s">
        <v>11</v>
      </c>
      <c r="AE8" s="26" t="s">
        <v>11</v>
      </c>
      <c r="AF8" s="26" t="s">
        <v>11</v>
      </c>
      <c r="AG8" s="26" t="s">
        <v>11</v>
      </c>
      <c r="AH8" s="41" t="s">
        <v>291</v>
      </c>
      <c r="AI8" s="26" t="s">
        <v>11</v>
      </c>
    </row>
    <row r="9" spans="2:35" ht="30" hidden="1" x14ac:dyDescent="0.35">
      <c r="B9" s="21" t="s">
        <v>57</v>
      </c>
      <c r="C9" s="21" t="s">
        <v>82</v>
      </c>
      <c r="D9" s="21" t="s">
        <v>21</v>
      </c>
      <c r="E9" s="21">
        <v>2</v>
      </c>
      <c r="F9" s="23" t="s">
        <v>11</v>
      </c>
      <c r="G9" s="23" t="s">
        <v>11</v>
      </c>
      <c r="H9" s="23" t="s">
        <v>11</v>
      </c>
      <c r="I9" s="23" t="s">
        <v>11</v>
      </c>
      <c r="J9" s="23" t="s">
        <v>11</v>
      </c>
      <c r="K9" s="23" t="s">
        <v>11</v>
      </c>
      <c r="L9" s="23" t="s">
        <v>11</v>
      </c>
      <c r="M9" s="23" t="s">
        <v>11</v>
      </c>
      <c r="N9" s="43" t="s">
        <v>290</v>
      </c>
      <c r="O9" s="24" t="s">
        <v>11</v>
      </c>
      <c r="P9" s="24" t="s">
        <v>11</v>
      </c>
      <c r="Q9" s="24" t="s">
        <v>11</v>
      </c>
      <c r="R9" s="24" t="s">
        <v>11</v>
      </c>
      <c r="S9" s="24" t="s">
        <v>11</v>
      </c>
      <c r="T9" s="23" t="s">
        <v>11</v>
      </c>
      <c r="U9" s="23" t="s">
        <v>11</v>
      </c>
      <c r="V9" s="23" t="s">
        <v>11</v>
      </c>
      <c r="W9" s="23" t="s">
        <v>11</v>
      </c>
      <c r="X9" s="25"/>
      <c r="Y9" s="26" t="s">
        <v>11</v>
      </c>
      <c r="Z9" s="26" t="s">
        <v>11</v>
      </c>
      <c r="AA9" s="26" t="s">
        <v>11</v>
      </c>
      <c r="AB9" s="26" t="s">
        <v>11</v>
      </c>
      <c r="AC9" s="26" t="s">
        <v>11</v>
      </c>
      <c r="AD9" s="26" t="s">
        <v>11</v>
      </c>
      <c r="AE9" s="26" t="s">
        <v>11</v>
      </c>
      <c r="AF9" s="26" t="s">
        <v>11</v>
      </c>
      <c r="AG9" s="26" t="s">
        <v>11</v>
      </c>
      <c r="AH9" s="41" t="s">
        <v>291</v>
      </c>
      <c r="AI9" s="26" t="s">
        <v>11</v>
      </c>
    </row>
    <row r="10" spans="2:35" ht="20" hidden="1" x14ac:dyDescent="0.35">
      <c r="B10" s="21" t="s">
        <v>5</v>
      </c>
      <c r="C10" s="21" t="s">
        <v>30</v>
      </c>
      <c r="D10" s="21" t="s">
        <v>111</v>
      </c>
      <c r="E10" s="21">
        <v>2</v>
      </c>
      <c r="F10" s="43" t="s">
        <v>290</v>
      </c>
      <c r="G10" s="43" t="s">
        <v>290</v>
      </c>
      <c r="H10" s="23" t="s">
        <v>11</v>
      </c>
      <c r="I10" s="23" t="s">
        <v>11</v>
      </c>
      <c r="J10" s="23" t="s">
        <v>11</v>
      </c>
      <c r="K10" s="23" t="s">
        <v>11</v>
      </c>
      <c r="L10" s="23" t="s">
        <v>11</v>
      </c>
      <c r="M10" s="23" t="s">
        <v>11</v>
      </c>
      <c r="N10" s="23" t="s">
        <v>11</v>
      </c>
      <c r="O10" s="23" t="s">
        <v>11</v>
      </c>
      <c r="P10" s="23" t="s">
        <v>11</v>
      </c>
      <c r="Q10" s="23" t="s">
        <v>11</v>
      </c>
      <c r="R10" s="23" t="s">
        <v>11</v>
      </c>
      <c r="S10" s="23" t="s">
        <v>11</v>
      </c>
      <c r="T10" s="23" t="s">
        <v>11</v>
      </c>
      <c r="U10" s="23" t="s">
        <v>11</v>
      </c>
      <c r="V10" s="23" t="s">
        <v>11</v>
      </c>
      <c r="W10" s="23" t="s">
        <v>11</v>
      </c>
      <c r="X10" s="25"/>
      <c r="Y10" s="41" t="s">
        <v>291</v>
      </c>
      <c r="Z10" s="27" t="s">
        <v>11</v>
      </c>
      <c r="AA10" s="41" t="s">
        <v>290</v>
      </c>
      <c r="AB10" s="41" t="s">
        <v>290</v>
      </c>
      <c r="AC10" s="41" t="s">
        <v>290</v>
      </c>
      <c r="AD10" s="26" t="s">
        <v>11</v>
      </c>
      <c r="AE10" s="26" t="s">
        <v>11</v>
      </c>
      <c r="AF10" s="26" t="s">
        <v>11</v>
      </c>
      <c r="AG10" s="26" t="s">
        <v>11</v>
      </c>
      <c r="AH10" s="26" t="s">
        <v>11</v>
      </c>
      <c r="AI10" s="26" t="s">
        <v>11</v>
      </c>
    </row>
    <row r="11" spans="2:35" ht="30" x14ac:dyDescent="0.35">
      <c r="B11" s="21" t="s">
        <v>6</v>
      </c>
      <c r="C11" s="21" t="s">
        <v>31</v>
      </c>
      <c r="D11" s="21" t="s">
        <v>111</v>
      </c>
      <c r="E11" s="21">
        <v>1</v>
      </c>
      <c r="F11" s="43" t="s">
        <v>290</v>
      </c>
      <c r="G11" s="43" t="s">
        <v>290</v>
      </c>
      <c r="H11" s="23" t="s">
        <v>11</v>
      </c>
      <c r="I11" s="23" t="s">
        <v>11</v>
      </c>
      <c r="J11" s="23" t="s">
        <v>11</v>
      </c>
      <c r="K11" s="23" t="s">
        <v>11</v>
      </c>
      <c r="L11" s="23" t="s">
        <v>11</v>
      </c>
      <c r="M11" s="23" t="s">
        <v>11</v>
      </c>
      <c r="N11" s="23" t="s">
        <v>11</v>
      </c>
      <c r="O11" s="23" t="s">
        <v>11</v>
      </c>
      <c r="P11" s="23" t="s">
        <v>11</v>
      </c>
      <c r="Q11" s="23" t="s">
        <v>11</v>
      </c>
      <c r="R11" s="23" t="s">
        <v>11</v>
      </c>
      <c r="S11" s="23" t="s">
        <v>11</v>
      </c>
      <c r="T11" s="23" t="s">
        <v>11</v>
      </c>
      <c r="U11" s="23" t="s">
        <v>11</v>
      </c>
      <c r="V11" s="23" t="s">
        <v>11</v>
      </c>
      <c r="W11" s="23" t="s">
        <v>11</v>
      </c>
      <c r="X11" s="25"/>
      <c r="Y11" s="27" t="s">
        <v>11</v>
      </c>
      <c r="Z11" s="27" t="s">
        <v>11</v>
      </c>
      <c r="AA11" s="27" t="s">
        <v>11</v>
      </c>
      <c r="AB11" s="41" t="s">
        <v>290</v>
      </c>
      <c r="AC11" s="26" t="s">
        <v>11</v>
      </c>
      <c r="AD11" s="27" t="s">
        <v>11</v>
      </c>
      <c r="AE11" s="26" t="s">
        <v>11</v>
      </c>
      <c r="AF11" s="26" t="s">
        <v>11</v>
      </c>
      <c r="AG11" s="26" t="s">
        <v>11</v>
      </c>
      <c r="AH11" s="26" t="s">
        <v>11</v>
      </c>
      <c r="AI11" s="26" t="s">
        <v>11</v>
      </c>
    </row>
    <row r="12" spans="2:35" ht="30" hidden="1" x14ac:dyDescent="0.35">
      <c r="B12" s="21" t="s">
        <v>8</v>
      </c>
      <c r="C12" s="21" t="s">
        <v>30</v>
      </c>
      <c r="D12" s="21" t="s">
        <v>111</v>
      </c>
      <c r="E12" s="21">
        <v>1</v>
      </c>
      <c r="F12" s="23" t="s">
        <v>11</v>
      </c>
      <c r="G12" s="23" t="s">
        <v>11</v>
      </c>
      <c r="H12" s="43" t="s">
        <v>292</v>
      </c>
      <c r="I12" s="23" t="s">
        <v>11</v>
      </c>
      <c r="J12" s="23" t="s">
        <v>11</v>
      </c>
      <c r="K12" s="23" t="s">
        <v>11</v>
      </c>
      <c r="L12" s="23" t="s">
        <v>11</v>
      </c>
      <c r="M12" s="23" t="s">
        <v>11</v>
      </c>
      <c r="N12" s="24" t="s">
        <v>11</v>
      </c>
      <c r="O12" s="24" t="s">
        <v>11</v>
      </c>
      <c r="P12" s="24" t="s">
        <v>11</v>
      </c>
      <c r="Q12" s="24" t="s">
        <v>11</v>
      </c>
      <c r="R12" s="24" t="s">
        <v>11</v>
      </c>
      <c r="S12" s="24" t="s">
        <v>11</v>
      </c>
      <c r="T12" s="23" t="s">
        <v>11</v>
      </c>
      <c r="U12" s="23" t="s">
        <v>11</v>
      </c>
      <c r="V12" s="23" t="s">
        <v>11</v>
      </c>
      <c r="W12" s="23" t="s">
        <v>11</v>
      </c>
      <c r="X12" s="25"/>
      <c r="Y12" s="26" t="s">
        <v>11</v>
      </c>
      <c r="Z12" s="27" t="s">
        <v>11</v>
      </c>
      <c r="AA12" s="26" t="s">
        <v>11</v>
      </c>
      <c r="AB12" s="26" t="s">
        <v>11</v>
      </c>
      <c r="AC12" s="26" t="s">
        <v>11</v>
      </c>
      <c r="AD12" s="26" t="s">
        <v>11</v>
      </c>
      <c r="AE12" s="26" t="s">
        <v>11</v>
      </c>
      <c r="AF12" s="26" t="s">
        <v>11</v>
      </c>
      <c r="AG12" s="26" t="s">
        <v>11</v>
      </c>
      <c r="AH12" s="26" t="s">
        <v>11</v>
      </c>
      <c r="AI12" s="26" t="s">
        <v>11</v>
      </c>
    </row>
    <row r="13" spans="2:35" ht="20" hidden="1" x14ac:dyDescent="0.35">
      <c r="B13" s="21" t="s">
        <v>0</v>
      </c>
      <c r="C13" s="21" t="s">
        <v>32</v>
      </c>
      <c r="D13" s="21" t="s">
        <v>111</v>
      </c>
      <c r="E13" s="21">
        <v>1</v>
      </c>
      <c r="F13" s="43" t="s">
        <v>292</v>
      </c>
      <c r="G13" s="23" t="s">
        <v>11</v>
      </c>
      <c r="H13" s="23" t="s">
        <v>11</v>
      </c>
      <c r="I13" s="23" t="s">
        <v>11</v>
      </c>
      <c r="J13" s="23" t="s">
        <v>11</v>
      </c>
      <c r="K13" s="23" t="s">
        <v>11</v>
      </c>
      <c r="L13" s="23" t="s">
        <v>11</v>
      </c>
      <c r="M13" s="23" t="s">
        <v>11</v>
      </c>
      <c r="N13" s="23" t="s">
        <v>11</v>
      </c>
      <c r="O13" s="23" t="s">
        <v>11</v>
      </c>
      <c r="P13" s="23" t="s">
        <v>11</v>
      </c>
      <c r="Q13" s="23" t="s">
        <v>11</v>
      </c>
      <c r="R13" s="23" t="s">
        <v>11</v>
      </c>
      <c r="S13" s="23" t="s">
        <v>11</v>
      </c>
      <c r="T13" s="23" t="s">
        <v>11</v>
      </c>
      <c r="U13" s="23" t="s">
        <v>11</v>
      </c>
      <c r="V13" s="23" t="s">
        <v>11</v>
      </c>
      <c r="W13" s="23" t="s">
        <v>11</v>
      </c>
      <c r="X13" s="25"/>
      <c r="Y13" s="41" t="s">
        <v>290</v>
      </c>
      <c r="Z13" s="41" t="s">
        <v>290</v>
      </c>
      <c r="AA13" s="41" t="s">
        <v>290</v>
      </c>
      <c r="AB13" s="41" t="s">
        <v>290</v>
      </c>
      <c r="AC13" s="41" t="s">
        <v>290</v>
      </c>
      <c r="AD13" s="26" t="s">
        <v>11</v>
      </c>
      <c r="AE13" s="26" t="s">
        <v>11</v>
      </c>
      <c r="AF13" s="26" t="s">
        <v>11</v>
      </c>
      <c r="AG13" s="26" t="s">
        <v>11</v>
      </c>
      <c r="AH13" s="26" t="s">
        <v>11</v>
      </c>
      <c r="AI13" s="26" t="s">
        <v>11</v>
      </c>
    </row>
    <row r="14" spans="2:35" ht="20" hidden="1" x14ac:dyDescent="0.35">
      <c r="B14" s="21" t="s">
        <v>60</v>
      </c>
      <c r="C14" s="21" t="s">
        <v>82</v>
      </c>
      <c r="D14" s="21" t="s">
        <v>21</v>
      </c>
      <c r="E14" s="21">
        <v>1</v>
      </c>
      <c r="F14" s="24" t="s">
        <v>11</v>
      </c>
      <c r="G14" s="24" t="s">
        <v>11</v>
      </c>
      <c r="H14" s="24" t="s">
        <v>11</v>
      </c>
      <c r="I14" s="24" t="s">
        <v>11</v>
      </c>
      <c r="J14" s="24" t="s">
        <v>11</v>
      </c>
      <c r="K14" s="24" t="s">
        <v>11</v>
      </c>
      <c r="L14" s="43" t="s">
        <v>290</v>
      </c>
      <c r="M14" s="24" t="s">
        <v>11</v>
      </c>
      <c r="N14" s="43" t="s">
        <v>290</v>
      </c>
      <c r="O14" s="24" t="s">
        <v>11</v>
      </c>
      <c r="P14" s="24" t="s">
        <v>11</v>
      </c>
      <c r="Q14" s="24" t="s">
        <v>11</v>
      </c>
      <c r="R14" s="24" t="s">
        <v>11</v>
      </c>
      <c r="S14" s="24" t="s">
        <v>11</v>
      </c>
      <c r="T14" s="23" t="s">
        <v>11</v>
      </c>
      <c r="U14" s="23" t="s">
        <v>11</v>
      </c>
      <c r="V14" s="23" t="s">
        <v>11</v>
      </c>
      <c r="W14" s="23" t="s">
        <v>11</v>
      </c>
      <c r="X14" s="25"/>
      <c r="Y14" s="26" t="s">
        <v>11</v>
      </c>
      <c r="Z14" s="26" t="s">
        <v>11</v>
      </c>
      <c r="AA14" s="41" t="s">
        <v>291</v>
      </c>
      <c r="AB14" s="26" t="s">
        <v>11</v>
      </c>
      <c r="AC14" s="26" t="s">
        <v>11</v>
      </c>
      <c r="AD14" s="26" t="s">
        <v>11</v>
      </c>
      <c r="AE14" s="26" t="s">
        <v>11</v>
      </c>
      <c r="AF14" s="26" t="s">
        <v>11</v>
      </c>
      <c r="AG14" s="26" t="s">
        <v>11</v>
      </c>
      <c r="AH14" s="41" t="s">
        <v>291</v>
      </c>
      <c r="AI14" s="26" t="s">
        <v>11</v>
      </c>
    </row>
    <row r="15" spans="2:35" ht="20" hidden="1" x14ac:dyDescent="0.35">
      <c r="B15" s="21" t="s">
        <v>59</v>
      </c>
      <c r="C15" s="21" t="s">
        <v>30</v>
      </c>
      <c r="D15" s="21" t="s">
        <v>21</v>
      </c>
      <c r="E15" s="21">
        <v>1</v>
      </c>
      <c r="F15" s="24" t="s">
        <v>11</v>
      </c>
      <c r="G15" s="24" t="s">
        <v>11</v>
      </c>
      <c r="H15" s="24" t="s">
        <v>11</v>
      </c>
      <c r="I15" s="24" t="s">
        <v>11</v>
      </c>
      <c r="J15" s="24" t="s">
        <v>11</v>
      </c>
      <c r="K15" s="24" t="s">
        <v>11</v>
      </c>
      <c r="L15" s="24" t="s">
        <v>11</v>
      </c>
      <c r="M15" s="24" t="s">
        <v>11</v>
      </c>
      <c r="N15" s="43" t="s">
        <v>290</v>
      </c>
      <c r="O15" s="24" t="s">
        <v>11</v>
      </c>
      <c r="P15" s="24" t="s">
        <v>11</v>
      </c>
      <c r="Q15" s="24" t="s">
        <v>11</v>
      </c>
      <c r="R15" s="24" t="s">
        <v>11</v>
      </c>
      <c r="S15" s="24" t="s">
        <v>11</v>
      </c>
      <c r="T15" s="24" t="s">
        <v>11</v>
      </c>
      <c r="U15" s="24" t="s">
        <v>11</v>
      </c>
      <c r="V15" s="24" t="s">
        <v>11</v>
      </c>
      <c r="W15" s="24" t="s">
        <v>11</v>
      </c>
      <c r="X15" s="25"/>
      <c r="Y15" s="26" t="s">
        <v>11</v>
      </c>
      <c r="Z15" s="26" t="s">
        <v>11</v>
      </c>
      <c r="AA15" s="41" t="s">
        <v>291</v>
      </c>
      <c r="AB15" s="26" t="s">
        <v>11</v>
      </c>
      <c r="AC15" s="26" t="s">
        <v>11</v>
      </c>
      <c r="AD15" s="26" t="s">
        <v>11</v>
      </c>
      <c r="AE15" s="26" t="s">
        <v>11</v>
      </c>
      <c r="AF15" s="26" t="s">
        <v>11</v>
      </c>
      <c r="AG15" s="26" t="s">
        <v>11</v>
      </c>
      <c r="AH15" s="41" t="s">
        <v>291</v>
      </c>
      <c r="AI15" s="26" t="s">
        <v>11</v>
      </c>
    </row>
    <row r="16" spans="2:35" ht="20" hidden="1" x14ac:dyDescent="0.35">
      <c r="B16" s="21" t="s">
        <v>64</v>
      </c>
      <c r="C16" s="21" t="s">
        <v>82</v>
      </c>
      <c r="D16" s="21" t="s">
        <v>21</v>
      </c>
      <c r="E16" s="21">
        <v>10</v>
      </c>
      <c r="F16" s="24" t="s">
        <v>11</v>
      </c>
      <c r="G16" s="24" t="s">
        <v>11</v>
      </c>
      <c r="H16" s="24" t="s">
        <v>11</v>
      </c>
      <c r="I16" s="24" t="s">
        <v>11</v>
      </c>
      <c r="J16" s="24" t="s">
        <v>11</v>
      </c>
      <c r="K16" s="24" t="s">
        <v>11</v>
      </c>
      <c r="L16" s="24" t="s">
        <v>11</v>
      </c>
      <c r="M16" s="24" t="s">
        <v>11</v>
      </c>
      <c r="N16" s="43" t="s">
        <v>290</v>
      </c>
      <c r="O16" s="24" t="s">
        <v>11</v>
      </c>
      <c r="P16" s="24" t="s">
        <v>11</v>
      </c>
      <c r="Q16" s="24" t="s">
        <v>11</v>
      </c>
      <c r="R16" s="24" t="s">
        <v>11</v>
      </c>
      <c r="S16" s="24" t="s">
        <v>11</v>
      </c>
      <c r="T16" s="24" t="s">
        <v>11</v>
      </c>
      <c r="U16" s="24" t="s">
        <v>11</v>
      </c>
      <c r="V16" s="24" t="s">
        <v>11</v>
      </c>
      <c r="W16" s="23" t="s">
        <v>11</v>
      </c>
      <c r="X16" s="25"/>
      <c r="Y16" s="26" t="s">
        <v>11</v>
      </c>
      <c r="Z16" s="26" t="s">
        <v>11</v>
      </c>
      <c r="AA16" s="26" t="s">
        <v>11</v>
      </c>
      <c r="AB16" s="26" t="s">
        <v>11</v>
      </c>
      <c r="AC16" s="26" t="s">
        <v>11</v>
      </c>
      <c r="AD16" s="26" t="s">
        <v>11</v>
      </c>
      <c r="AE16" s="26" t="s">
        <v>11</v>
      </c>
      <c r="AF16" s="26" t="s">
        <v>11</v>
      </c>
      <c r="AG16" s="26" t="s">
        <v>11</v>
      </c>
      <c r="AH16" s="26" t="s">
        <v>11</v>
      </c>
      <c r="AI16" s="26" t="s">
        <v>11</v>
      </c>
    </row>
    <row r="17" spans="2:35" ht="20" hidden="1" x14ac:dyDescent="0.35">
      <c r="B17" s="21" t="s">
        <v>62</v>
      </c>
      <c r="C17" s="21" t="s">
        <v>30</v>
      </c>
      <c r="D17" s="21" t="s">
        <v>21</v>
      </c>
      <c r="E17" s="21">
        <v>30</v>
      </c>
      <c r="F17" s="24" t="s">
        <v>11</v>
      </c>
      <c r="G17" s="24" t="s">
        <v>11</v>
      </c>
      <c r="H17" s="24" t="s">
        <v>11</v>
      </c>
      <c r="I17" s="24" t="s">
        <v>11</v>
      </c>
      <c r="J17" s="24" t="s">
        <v>11</v>
      </c>
      <c r="K17" s="24" t="s">
        <v>11</v>
      </c>
      <c r="L17" s="24" t="s">
        <v>11</v>
      </c>
      <c r="M17" s="24" t="s">
        <v>11</v>
      </c>
      <c r="N17" s="43" t="s">
        <v>290</v>
      </c>
      <c r="O17" s="24" t="s">
        <v>11</v>
      </c>
      <c r="P17" s="24" t="s">
        <v>11</v>
      </c>
      <c r="Q17" s="24" t="s">
        <v>11</v>
      </c>
      <c r="R17" s="24" t="s">
        <v>11</v>
      </c>
      <c r="S17" s="24" t="s">
        <v>11</v>
      </c>
      <c r="T17" s="24" t="s">
        <v>11</v>
      </c>
      <c r="U17" s="24" t="s">
        <v>11</v>
      </c>
      <c r="V17" s="24" t="s">
        <v>11</v>
      </c>
      <c r="W17" s="24" t="s">
        <v>11</v>
      </c>
      <c r="X17" s="25"/>
      <c r="Y17" s="26" t="s">
        <v>11</v>
      </c>
      <c r="Z17" s="26" t="s">
        <v>11</v>
      </c>
      <c r="AA17" s="26" t="s">
        <v>11</v>
      </c>
      <c r="AB17" s="26" t="s">
        <v>11</v>
      </c>
      <c r="AC17" s="26" t="s">
        <v>11</v>
      </c>
      <c r="AD17" s="26" t="s">
        <v>11</v>
      </c>
      <c r="AE17" s="26" t="s">
        <v>11</v>
      </c>
      <c r="AF17" s="26" t="s">
        <v>11</v>
      </c>
      <c r="AG17" s="26" t="s">
        <v>11</v>
      </c>
      <c r="AH17" s="26" t="s">
        <v>11</v>
      </c>
      <c r="AI17" s="26" t="s">
        <v>11</v>
      </c>
    </row>
    <row r="18" spans="2:35" ht="40" x14ac:dyDescent="0.35">
      <c r="B18" s="21" t="s">
        <v>68</v>
      </c>
      <c r="C18" s="21" t="s">
        <v>31</v>
      </c>
      <c r="D18" s="21" t="s">
        <v>24</v>
      </c>
      <c r="E18" s="21">
        <v>35</v>
      </c>
      <c r="F18" s="23" t="s">
        <v>11</v>
      </c>
      <c r="G18" s="23" t="s">
        <v>11</v>
      </c>
      <c r="H18" s="23" t="s">
        <v>11</v>
      </c>
      <c r="I18" s="23" t="s">
        <v>11</v>
      </c>
      <c r="J18" s="23" t="s">
        <v>11</v>
      </c>
      <c r="K18" s="23" t="s">
        <v>11</v>
      </c>
      <c r="L18" s="23" t="s">
        <v>11</v>
      </c>
      <c r="M18" s="23" t="s">
        <v>11</v>
      </c>
      <c r="N18" s="43" t="s">
        <v>290</v>
      </c>
      <c r="O18" s="23" t="s">
        <v>11</v>
      </c>
      <c r="P18" s="23" t="s">
        <v>11</v>
      </c>
      <c r="Q18" s="23" t="s">
        <v>11</v>
      </c>
      <c r="R18" s="23" t="s">
        <v>11</v>
      </c>
      <c r="S18" s="23" t="s">
        <v>11</v>
      </c>
      <c r="T18" s="23" t="s">
        <v>11</v>
      </c>
      <c r="U18" s="23" t="s">
        <v>11</v>
      </c>
      <c r="V18" s="23" t="s">
        <v>11</v>
      </c>
      <c r="W18" s="23" t="s">
        <v>11</v>
      </c>
      <c r="X18" s="25"/>
      <c r="Y18" s="26" t="s">
        <v>11</v>
      </c>
      <c r="Z18" s="26" t="s">
        <v>11</v>
      </c>
      <c r="AA18" s="26" t="s">
        <v>11</v>
      </c>
      <c r="AB18" s="26" t="s">
        <v>11</v>
      </c>
      <c r="AC18" s="26" t="s">
        <v>11</v>
      </c>
      <c r="AD18" s="26" t="s">
        <v>11</v>
      </c>
      <c r="AE18" s="26" t="s">
        <v>11</v>
      </c>
      <c r="AF18" s="26" t="s">
        <v>11</v>
      </c>
      <c r="AG18" s="26" t="s">
        <v>11</v>
      </c>
      <c r="AH18" s="26" t="s">
        <v>11</v>
      </c>
      <c r="AI18" s="26" t="s">
        <v>11</v>
      </c>
    </row>
    <row r="19" spans="2:35" ht="40" hidden="1" x14ac:dyDescent="0.35">
      <c r="B19" s="21" t="s">
        <v>69</v>
      </c>
      <c r="C19" s="21" t="s">
        <v>85</v>
      </c>
      <c r="D19" s="21" t="s">
        <v>24</v>
      </c>
      <c r="E19" s="21">
        <v>12</v>
      </c>
      <c r="F19" s="23" t="s">
        <v>11</v>
      </c>
      <c r="G19" s="23" t="s">
        <v>11</v>
      </c>
      <c r="H19" s="23" t="s">
        <v>11</v>
      </c>
      <c r="I19" s="23" t="s">
        <v>11</v>
      </c>
      <c r="J19" s="23" t="s">
        <v>11</v>
      </c>
      <c r="K19" s="23" t="s">
        <v>11</v>
      </c>
      <c r="L19" s="23" t="s">
        <v>11</v>
      </c>
      <c r="M19" s="23" t="s">
        <v>11</v>
      </c>
      <c r="N19" s="43" t="s">
        <v>290</v>
      </c>
      <c r="O19" s="24" t="s">
        <v>11</v>
      </c>
      <c r="P19" s="24" t="s">
        <v>11</v>
      </c>
      <c r="Q19" s="24" t="s">
        <v>11</v>
      </c>
      <c r="R19" s="24" t="s">
        <v>11</v>
      </c>
      <c r="S19" s="24" t="s">
        <v>11</v>
      </c>
      <c r="T19" s="23" t="s">
        <v>11</v>
      </c>
      <c r="U19" s="23" t="s">
        <v>11</v>
      </c>
      <c r="V19" s="23" t="s">
        <v>11</v>
      </c>
      <c r="W19" s="23" t="s">
        <v>11</v>
      </c>
      <c r="X19" s="25"/>
      <c r="Y19" s="26" t="s">
        <v>11</v>
      </c>
      <c r="Z19" s="26" t="s">
        <v>11</v>
      </c>
      <c r="AA19" s="41" t="s">
        <v>291</v>
      </c>
      <c r="AB19" s="26" t="s">
        <v>11</v>
      </c>
      <c r="AC19" s="26" t="s">
        <v>11</v>
      </c>
      <c r="AD19" s="26" t="s">
        <v>11</v>
      </c>
      <c r="AE19" s="26" t="s">
        <v>11</v>
      </c>
      <c r="AF19" s="26" t="s">
        <v>11</v>
      </c>
      <c r="AG19" s="26" t="s">
        <v>11</v>
      </c>
      <c r="AH19" s="26" t="s">
        <v>11</v>
      </c>
      <c r="AI19" s="26" t="s">
        <v>11</v>
      </c>
    </row>
    <row r="20" spans="2:35" ht="20" hidden="1" x14ac:dyDescent="0.35">
      <c r="B20" s="21" t="s">
        <v>65</v>
      </c>
      <c r="C20" s="21" t="s">
        <v>30</v>
      </c>
      <c r="D20" s="21" t="s">
        <v>21</v>
      </c>
      <c r="E20" s="21">
        <v>5</v>
      </c>
      <c r="F20" s="24" t="s">
        <v>11</v>
      </c>
      <c r="G20" s="24" t="s">
        <v>11</v>
      </c>
      <c r="H20" s="24" t="s">
        <v>11</v>
      </c>
      <c r="I20" s="24" t="s">
        <v>11</v>
      </c>
      <c r="J20" s="24" t="s">
        <v>11</v>
      </c>
      <c r="K20" s="24" t="s">
        <v>11</v>
      </c>
      <c r="L20" s="24" t="s">
        <v>11</v>
      </c>
      <c r="M20" s="24" t="s">
        <v>11</v>
      </c>
      <c r="N20" s="24" t="s">
        <v>11</v>
      </c>
      <c r="O20" s="24" t="s">
        <v>11</v>
      </c>
      <c r="P20" s="24" t="s">
        <v>11</v>
      </c>
      <c r="Q20" s="24" t="s">
        <v>11</v>
      </c>
      <c r="R20" s="24" t="s">
        <v>11</v>
      </c>
      <c r="S20" s="24" t="s">
        <v>11</v>
      </c>
      <c r="T20" s="23" t="s">
        <v>11</v>
      </c>
      <c r="U20" s="23" t="s">
        <v>11</v>
      </c>
      <c r="V20" s="23" t="s">
        <v>11</v>
      </c>
      <c r="W20" s="23" t="s">
        <v>11</v>
      </c>
      <c r="X20" s="25"/>
      <c r="Y20" s="26" t="s">
        <v>11</v>
      </c>
      <c r="Z20" s="26" t="s">
        <v>11</v>
      </c>
      <c r="AA20" s="26" t="s">
        <v>11</v>
      </c>
      <c r="AB20" s="26" t="s">
        <v>11</v>
      </c>
      <c r="AC20" s="26" t="s">
        <v>11</v>
      </c>
      <c r="AD20" s="26" t="s">
        <v>11</v>
      </c>
      <c r="AE20" s="26" t="s">
        <v>11</v>
      </c>
      <c r="AF20" s="26" t="s">
        <v>11</v>
      </c>
      <c r="AG20" s="26" t="s">
        <v>11</v>
      </c>
      <c r="AH20" s="26" t="s">
        <v>11</v>
      </c>
      <c r="AI20" s="41" t="s">
        <v>290</v>
      </c>
    </row>
    <row r="21" spans="2:35" ht="20" hidden="1" x14ac:dyDescent="0.35">
      <c r="B21" s="21" t="s">
        <v>42</v>
      </c>
      <c r="C21" s="21" t="s">
        <v>30</v>
      </c>
      <c r="D21" s="21" t="s">
        <v>21</v>
      </c>
      <c r="E21" s="21">
        <v>2</v>
      </c>
      <c r="F21" s="23" t="s">
        <v>11</v>
      </c>
      <c r="G21" s="23" t="s">
        <v>11</v>
      </c>
      <c r="H21" s="23" t="s">
        <v>11</v>
      </c>
      <c r="I21" s="23" t="s">
        <v>11</v>
      </c>
      <c r="J21" s="23" t="s">
        <v>11</v>
      </c>
      <c r="K21" s="23" t="s">
        <v>11</v>
      </c>
      <c r="L21" s="23" t="s">
        <v>11</v>
      </c>
      <c r="M21" s="23" t="s">
        <v>11</v>
      </c>
      <c r="N21" s="23" t="s">
        <v>11</v>
      </c>
      <c r="O21" s="43" t="s">
        <v>290</v>
      </c>
      <c r="P21" s="43" t="s">
        <v>290</v>
      </c>
      <c r="Q21" s="43" t="s">
        <v>290</v>
      </c>
      <c r="R21" s="43" t="s">
        <v>290</v>
      </c>
      <c r="S21" s="43" t="s">
        <v>290</v>
      </c>
      <c r="T21" s="23" t="s">
        <v>11</v>
      </c>
      <c r="U21" s="23" t="s">
        <v>11</v>
      </c>
      <c r="V21" s="23" t="s">
        <v>11</v>
      </c>
      <c r="W21" s="23" t="s">
        <v>11</v>
      </c>
      <c r="X21" s="25"/>
      <c r="Y21" s="26" t="s">
        <v>11</v>
      </c>
      <c r="Z21" s="26" t="s">
        <v>11</v>
      </c>
      <c r="AA21" s="26" t="s">
        <v>11</v>
      </c>
      <c r="AB21" s="26" t="s">
        <v>11</v>
      </c>
      <c r="AC21" s="26" t="s">
        <v>11</v>
      </c>
      <c r="AD21" s="26" t="s">
        <v>11</v>
      </c>
      <c r="AE21" s="41" t="s">
        <v>291</v>
      </c>
      <c r="AF21" s="41" t="s">
        <v>291</v>
      </c>
      <c r="AG21" s="41" t="s">
        <v>291</v>
      </c>
      <c r="AH21" s="26" t="s">
        <v>11</v>
      </c>
      <c r="AI21" s="26" t="s">
        <v>11</v>
      </c>
    </row>
    <row r="22" spans="2:35" ht="20" hidden="1" x14ac:dyDescent="0.35">
      <c r="B22" s="21" t="s">
        <v>52</v>
      </c>
      <c r="C22" s="21" t="s">
        <v>30</v>
      </c>
      <c r="D22" s="21" t="s">
        <v>21</v>
      </c>
      <c r="E22" s="21">
        <v>20</v>
      </c>
      <c r="F22" s="24" t="s">
        <v>11</v>
      </c>
      <c r="G22" s="24" t="s">
        <v>11</v>
      </c>
      <c r="H22" s="24" t="s">
        <v>11</v>
      </c>
      <c r="I22" s="24" t="s">
        <v>11</v>
      </c>
      <c r="J22" s="24" t="s">
        <v>11</v>
      </c>
      <c r="K22" s="24" t="s">
        <v>11</v>
      </c>
      <c r="L22" s="24" t="s">
        <v>11</v>
      </c>
      <c r="M22" s="24" t="s">
        <v>11</v>
      </c>
      <c r="N22" s="24" t="s">
        <v>11</v>
      </c>
      <c r="O22" s="24" t="s">
        <v>11</v>
      </c>
      <c r="P22" s="43" t="s">
        <v>290</v>
      </c>
      <c r="Q22" s="24" t="s">
        <v>11</v>
      </c>
      <c r="R22" s="24" t="s">
        <v>11</v>
      </c>
      <c r="S22" s="24" t="s">
        <v>11</v>
      </c>
      <c r="T22" s="43" t="s">
        <v>290</v>
      </c>
      <c r="U22" s="43" t="s">
        <v>290</v>
      </c>
      <c r="V22" s="23" t="s">
        <v>11</v>
      </c>
      <c r="W22" s="23" t="s">
        <v>11</v>
      </c>
      <c r="X22" s="25"/>
      <c r="Y22" s="26" t="s">
        <v>11</v>
      </c>
      <c r="Z22" s="26" t="s">
        <v>11</v>
      </c>
      <c r="AA22" s="26" t="s">
        <v>11</v>
      </c>
      <c r="AB22" s="26" t="s">
        <v>11</v>
      </c>
      <c r="AC22" s="26" t="s">
        <v>11</v>
      </c>
      <c r="AD22" s="26" t="s">
        <v>11</v>
      </c>
      <c r="AE22" s="26" t="s">
        <v>11</v>
      </c>
      <c r="AF22" s="26" t="s">
        <v>11</v>
      </c>
      <c r="AG22" s="26" t="s">
        <v>11</v>
      </c>
      <c r="AH22" s="26" t="s">
        <v>11</v>
      </c>
      <c r="AI22" s="26" t="s">
        <v>11</v>
      </c>
    </row>
    <row r="23" spans="2:35" ht="30" hidden="1" x14ac:dyDescent="0.35">
      <c r="B23" s="21" t="s">
        <v>33</v>
      </c>
      <c r="C23" s="21" t="s">
        <v>30</v>
      </c>
      <c r="D23" s="21" t="s">
        <v>111</v>
      </c>
      <c r="E23" s="21">
        <v>4</v>
      </c>
      <c r="F23" s="23" t="s">
        <v>11</v>
      </c>
      <c r="G23" s="23" t="s">
        <v>11</v>
      </c>
      <c r="H23" s="23" t="s">
        <v>11</v>
      </c>
      <c r="I23" s="42" t="s">
        <v>292</v>
      </c>
      <c r="J23" s="23" t="s">
        <v>11</v>
      </c>
      <c r="K23" s="23" t="s">
        <v>11</v>
      </c>
      <c r="L23" s="23" t="s">
        <v>11</v>
      </c>
      <c r="M23" s="23" t="s">
        <v>11</v>
      </c>
      <c r="N23" s="24" t="s">
        <v>11</v>
      </c>
      <c r="O23" s="24" t="s">
        <v>11</v>
      </c>
      <c r="P23" s="24" t="s">
        <v>11</v>
      </c>
      <c r="Q23" s="24" t="s">
        <v>11</v>
      </c>
      <c r="R23" s="24" t="s">
        <v>11</v>
      </c>
      <c r="S23" s="24" t="s">
        <v>11</v>
      </c>
      <c r="T23" s="23" t="s">
        <v>11</v>
      </c>
      <c r="U23" s="23" t="s">
        <v>11</v>
      </c>
      <c r="V23" s="23" t="s">
        <v>11</v>
      </c>
      <c r="W23" s="23" t="s">
        <v>11</v>
      </c>
      <c r="X23" s="25"/>
      <c r="Y23" s="26" t="s">
        <v>11</v>
      </c>
      <c r="Z23" s="27" t="s">
        <v>11</v>
      </c>
      <c r="AA23" s="26" t="s">
        <v>11</v>
      </c>
      <c r="AB23" s="26" t="s">
        <v>11</v>
      </c>
      <c r="AC23" s="26" t="s">
        <v>11</v>
      </c>
      <c r="AD23" s="26" t="s">
        <v>11</v>
      </c>
      <c r="AE23" s="26" t="s">
        <v>11</v>
      </c>
      <c r="AF23" s="26" t="s">
        <v>11</v>
      </c>
      <c r="AG23" s="26" t="s">
        <v>11</v>
      </c>
      <c r="AH23" s="26" t="s">
        <v>11</v>
      </c>
      <c r="AI23" s="26" t="s">
        <v>11</v>
      </c>
    </row>
    <row r="24" spans="2:35" ht="30" hidden="1" x14ac:dyDescent="0.35">
      <c r="B24" s="21" t="s">
        <v>17</v>
      </c>
      <c r="C24" s="21" t="s">
        <v>30</v>
      </c>
      <c r="D24" s="21" t="s">
        <v>21</v>
      </c>
      <c r="E24" s="21">
        <v>1</v>
      </c>
      <c r="F24" s="23" t="s">
        <v>11</v>
      </c>
      <c r="G24" s="23" t="s">
        <v>11</v>
      </c>
      <c r="H24" s="23" t="s">
        <v>11</v>
      </c>
      <c r="I24" s="23" t="s">
        <v>11</v>
      </c>
      <c r="J24" s="42" t="s">
        <v>290</v>
      </c>
      <c r="K24" s="42" t="s">
        <v>290</v>
      </c>
      <c r="L24" s="42" t="s">
        <v>290</v>
      </c>
      <c r="M24" s="42" t="s">
        <v>290</v>
      </c>
      <c r="N24" s="24" t="s">
        <v>11</v>
      </c>
      <c r="O24" s="24" t="s">
        <v>11</v>
      </c>
      <c r="P24" s="24" t="s">
        <v>11</v>
      </c>
      <c r="Q24" s="24" t="s">
        <v>11</v>
      </c>
      <c r="R24" s="24" t="s">
        <v>11</v>
      </c>
      <c r="S24" s="24" t="s">
        <v>11</v>
      </c>
      <c r="T24" s="23" t="s">
        <v>11</v>
      </c>
      <c r="U24" s="23" t="s">
        <v>11</v>
      </c>
      <c r="V24" s="23" t="s">
        <v>11</v>
      </c>
      <c r="W24" s="23" t="s">
        <v>11</v>
      </c>
      <c r="X24" s="25"/>
      <c r="Y24" s="41" t="s">
        <v>291</v>
      </c>
      <c r="Z24" s="26" t="s">
        <v>11</v>
      </c>
      <c r="AA24" s="41" t="s">
        <v>291</v>
      </c>
      <c r="AB24" s="41" t="s">
        <v>291</v>
      </c>
      <c r="AC24" s="26" t="s">
        <v>11</v>
      </c>
      <c r="AD24" s="41" t="s">
        <v>291</v>
      </c>
      <c r="AE24" s="26" t="s">
        <v>11</v>
      </c>
      <c r="AF24" s="26" t="s">
        <v>11</v>
      </c>
      <c r="AG24" s="26" t="s">
        <v>11</v>
      </c>
      <c r="AH24" s="26" t="s">
        <v>11</v>
      </c>
      <c r="AI24" s="26" t="s">
        <v>11</v>
      </c>
    </row>
    <row r="25" spans="2:35" hidden="1" x14ac:dyDescent="0.35">
      <c r="E25" s="12">
        <f>SUM(E3:E24)</f>
        <v>153</v>
      </c>
    </row>
  </sheetData>
  <autoFilter ref="B2:AI25" xr:uid="{4B798F8B-217E-4BC8-95CE-9C12E05E6139}">
    <filterColumn colId="1">
      <filters>
        <filter val="AMS"/>
      </filters>
    </filterColumn>
  </autoFilter>
  <pageMargins left="0.7" right="0.7" top="0.75" bottom="0.75" header="0.3" footer="0.3"/>
  <legacy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42B516-8981-4D4D-8AE2-A17012D585EF}">
  <dimension ref="B2:K7"/>
  <sheetViews>
    <sheetView workbookViewId="0">
      <selection activeCell="B2" sqref="B2:K7"/>
    </sheetView>
  </sheetViews>
  <sheetFormatPr defaultRowHeight="14.5" x14ac:dyDescent="0.35"/>
  <cols>
    <col min="2" max="2" width="11.1796875" customWidth="1"/>
    <col min="6" max="6" width="14.1796875" customWidth="1"/>
    <col min="7" max="7" width="12.7265625" customWidth="1"/>
    <col min="8" max="8" width="15.26953125" customWidth="1"/>
    <col min="10" max="10" width="14.08984375" customWidth="1"/>
    <col min="11" max="11" width="14.54296875" customWidth="1"/>
  </cols>
  <sheetData>
    <row r="2" spans="2:11" x14ac:dyDescent="0.35">
      <c r="F2" s="16" t="s">
        <v>129</v>
      </c>
      <c r="G2" s="16"/>
      <c r="H2" s="16"/>
      <c r="J2" s="17" t="s">
        <v>130</v>
      </c>
      <c r="K2" s="19"/>
    </row>
    <row r="3" spans="2:11" ht="21" x14ac:dyDescent="0.35">
      <c r="B3" s="30" t="s">
        <v>2</v>
      </c>
      <c r="C3" s="30" t="s">
        <v>81</v>
      </c>
      <c r="D3" s="30" t="s">
        <v>27</v>
      </c>
      <c r="E3" s="30" t="s">
        <v>28</v>
      </c>
      <c r="F3" s="20" t="s">
        <v>15</v>
      </c>
      <c r="G3" s="20" t="s">
        <v>138</v>
      </c>
      <c r="H3" s="38" t="s">
        <v>194</v>
      </c>
      <c r="I3" s="33"/>
      <c r="J3" s="20" t="s">
        <v>39</v>
      </c>
      <c r="K3" s="38" t="s">
        <v>194</v>
      </c>
    </row>
    <row r="4" spans="2:11" ht="30" x14ac:dyDescent="0.35">
      <c r="B4" s="21" t="s">
        <v>19</v>
      </c>
      <c r="C4" s="21" t="s">
        <v>31</v>
      </c>
      <c r="D4" s="21" t="s">
        <v>16</v>
      </c>
      <c r="E4" s="21">
        <v>8</v>
      </c>
      <c r="F4" s="24" t="s">
        <v>11</v>
      </c>
      <c r="G4" s="24" t="s">
        <v>11</v>
      </c>
      <c r="H4" s="43" t="s">
        <v>290</v>
      </c>
      <c r="I4" s="25"/>
      <c r="J4" s="27" t="s">
        <v>11</v>
      </c>
      <c r="K4" s="41" t="s">
        <v>291</v>
      </c>
    </row>
    <row r="5" spans="2:11" ht="30" x14ac:dyDescent="0.35">
      <c r="B5" s="21" t="s">
        <v>19</v>
      </c>
      <c r="C5" s="21" t="s">
        <v>31</v>
      </c>
      <c r="D5" s="21" t="s">
        <v>24</v>
      </c>
      <c r="E5" s="21">
        <v>8</v>
      </c>
      <c r="F5" s="24" t="s">
        <v>11</v>
      </c>
      <c r="G5" s="24" t="s">
        <v>11</v>
      </c>
      <c r="H5" s="43" t="s">
        <v>290</v>
      </c>
      <c r="I5" s="25"/>
      <c r="J5" s="27" t="s">
        <v>11</v>
      </c>
      <c r="K5" s="41" t="s">
        <v>291</v>
      </c>
    </row>
    <row r="6" spans="2:11" ht="30" x14ac:dyDescent="0.35">
      <c r="B6" s="21" t="s">
        <v>6</v>
      </c>
      <c r="C6" s="21" t="s">
        <v>31</v>
      </c>
      <c r="D6" s="21" t="s">
        <v>111</v>
      </c>
      <c r="E6" s="21">
        <v>1</v>
      </c>
      <c r="F6" s="43" t="s">
        <v>290</v>
      </c>
      <c r="G6" s="43" t="s">
        <v>290</v>
      </c>
      <c r="H6" s="23" t="s">
        <v>11</v>
      </c>
      <c r="I6" s="25"/>
      <c r="J6" s="41" t="s">
        <v>290</v>
      </c>
      <c r="K6" s="26" t="s">
        <v>11</v>
      </c>
    </row>
    <row r="7" spans="2:11" ht="30" x14ac:dyDescent="0.35">
      <c r="B7" s="21" t="s">
        <v>68</v>
      </c>
      <c r="C7" s="21" t="s">
        <v>31</v>
      </c>
      <c r="D7" s="21" t="s">
        <v>24</v>
      </c>
      <c r="E7" s="21">
        <v>35</v>
      </c>
      <c r="F7" s="23" t="s">
        <v>11</v>
      </c>
      <c r="G7" s="23" t="s">
        <v>11</v>
      </c>
      <c r="H7" s="43" t="s">
        <v>290</v>
      </c>
      <c r="I7" s="25"/>
      <c r="J7" s="26" t="s">
        <v>11</v>
      </c>
      <c r="K7" s="26" t="s">
        <v>11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7CBEED-4FFB-45E9-B5CF-6F2D1EE5A8CC}">
  <dimension ref="A1:A98"/>
  <sheetViews>
    <sheetView topLeftCell="A64" zoomScale="160" zoomScaleNormal="160" workbookViewId="0">
      <selection activeCell="A63" sqref="A63"/>
    </sheetView>
  </sheetViews>
  <sheetFormatPr defaultRowHeight="14.5" x14ac:dyDescent="0.35"/>
  <cols>
    <col min="1" max="1" width="17.36328125" customWidth="1"/>
  </cols>
  <sheetData>
    <row r="1" spans="1:1" ht="23" x14ac:dyDescent="0.35">
      <c r="A1" s="46" t="s">
        <v>293</v>
      </c>
    </row>
    <row r="2" spans="1:1" x14ac:dyDescent="0.35">
      <c r="A2" s="47"/>
    </row>
    <row r="3" spans="1:1" x14ac:dyDescent="0.35">
      <c r="A3" s="48" t="s">
        <v>294</v>
      </c>
    </row>
    <row r="4" spans="1:1" x14ac:dyDescent="0.35">
      <c r="A4" s="48" t="s">
        <v>295</v>
      </c>
    </row>
    <row r="5" spans="1:1" x14ac:dyDescent="0.35">
      <c r="A5" s="48" t="s">
        <v>296</v>
      </c>
    </row>
    <row r="6" spans="1:1" x14ac:dyDescent="0.35">
      <c r="A6" s="48" t="s">
        <v>297</v>
      </c>
    </row>
    <row r="7" spans="1:1" x14ac:dyDescent="0.35">
      <c r="A7" s="48" t="s">
        <v>298</v>
      </c>
    </row>
    <row r="8" spans="1:1" x14ac:dyDescent="0.35">
      <c r="A8" s="48" t="s">
        <v>299</v>
      </c>
    </row>
    <row r="9" spans="1:1" x14ac:dyDescent="0.35">
      <c r="A9" s="48" t="s">
        <v>300</v>
      </c>
    </row>
    <row r="10" spans="1:1" x14ac:dyDescent="0.35">
      <c r="A10" s="48" t="s">
        <v>301</v>
      </c>
    </row>
    <row r="11" spans="1:1" x14ac:dyDescent="0.35">
      <c r="A11" s="48" t="s">
        <v>302</v>
      </c>
    </row>
    <row r="12" spans="1:1" x14ac:dyDescent="0.35">
      <c r="A12" s="48" t="s">
        <v>303</v>
      </c>
    </row>
    <row r="13" spans="1:1" x14ac:dyDescent="0.35">
      <c r="A13" s="49"/>
    </row>
    <row r="14" spans="1:1" x14ac:dyDescent="0.35">
      <c r="A14" s="49"/>
    </row>
    <row r="15" spans="1:1" ht="23" x14ac:dyDescent="0.35">
      <c r="A15" s="46" t="s">
        <v>304</v>
      </c>
    </row>
    <row r="16" spans="1:1" x14ac:dyDescent="0.35">
      <c r="A16" s="47"/>
    </row>
    <row r="17" spans="1:1" x14ac:dyDescent="0.35">
      <c r="A17" s="48" t="s">
        <v>305</v>
      </c>
    </row>
    <row r="18" spans="1:1" x14ac:dyDescent="0.35">
      <c r="A18" s="48" t="s">
        <v>306</v>
      </c>
    </row>
    <row r="19" spans="1:1" x14ac:dyDescent="0.35">
      <c r="A19" s="48" t="s">
        <v>307</v>
      </c>
    </row>
    <row r="20" spans="1:1" x14ac:dyDescent="0.35">
      <c r="A20" s="48" t="s">
        <v>308</v>
      </c>
    </row>
    <row r="21" spans="1:1" x14ac:dyDescent="0.35">
      <c r="A21" s="48" t="s">
        <v>309</v>
      </c>
    </row>
    <row r="22" spans="1:1" x14ac:dyDescent="0.35">
      <c r="A22" s="48" t="s">
        <v>310</v>
      </c>
    </row>
    <row r="23" spans="1:1" x14ac:dyDescent="0.35">
      <c r="A23" s="48" t="s">
        <v>311</v>
      </c>
    </row>
    <row r="24" spans="1:1" x14ac:dyDescent="0.35">
      <c r="A24" s="48" t="s">
        <v>312</v>
      </c>
    </row>
    <row r="25" spans="1:1" x14ac:dyDescent="0.35">
      <c r="A25" s="48" t="s">
        <v>313</v>
      </c>
    </row>
    <row r="26" spans="1:1" x14ac:dyDescent="0.35">
      <c r="A26" s="48" t="s">
        <v>314</v>
      </c>
    </row>
    <row r="27" spans="1:1" x14ac:dyDescent="0.35">
      <c r="A27" s="48" t="s">
        <v>315</v>
      </c>
    </row>
    <row r="28" spans="1:1" x14ac:dyDescent="0.35">
      <c r="A28" s="49"/>
    </row>
    <row r="29" spans="1:1" x14ac:dyDescent="0.35">
      <c r="A29" s="50"/>
    </row>
    <row r="30" spans="1:1" x14ac:dyDescent="0.35">
      <c r="A30" s="49"/>
    </row>
    <row r="31" spans="1:1" ht="23" x14ac:dyDescent="0.35">
      <c r="A31" s="46" t="s">
        <v>316</v>
      </c>
    </row>
    <row r="32" spans="1:1" x14ac:dyDescent="0.35">
      <c r="A32" s="47"/>
    </row>
    <row r="33" spans="1:1" x14ac:dyDescent="0.35">
      <c r="A33" s="48" t="s">
        <v>317</v>
      </c>
    </row>
    <row r="34" spans="1:1" x14ac:dyDescent="0.35">
      <c r="A34" s="48" t="s">
        <v>318</v>
      </c>
    </row>
    <row r="35" spans="1:1" x14ac:dyDescent="0.35">
      <c r="A35" s="48" t="s">
        <v>319</v>
      </c>
    </row>
    <row r="36" spans="1:1" x14ac:dyDescent="0.35">
      <c r="A36" s="48" t="s">
        <v>320</v>
      </c>
    </row>
    <row r="37" spans="1:1" x14ac:dyDescent="0.35">
      <c r="A37" s="48" t="s">
        <v>321</v>
      </c>
    </row>
    <row r="38" spans="1:1" x14ac:dyDescent="0.35">
      <c r="A38" s="48" t="s">
        <v>322</v>
      </c>
    </row>
    <row r="39" spans="1:1" x14ac:dyDescent="0.35">
      <c r="A39" s="48" t="s">
        <v>323</v>
      </c>
    </row>
    <row r="40" spans="1:1" x14ac:dyDescent="0.35">
      <c r="A40" s="48" t="s">
        <v>324</v>
      </c>
    </row>
    <row r="41" spans="1:1" x14ac:dyDescent="0.35">
      <c r="A41" s="49"/>
    </row>
    <row r="42" spans="1:1" x14ac:dyDescent="0.35">
      <c r="A42" s="50"/>
    </row>
    <row r="43" spans="1:1" x14ac:dyDescent="0.35">
      <c r="A43" s="49"/>
    </row>
    <row r="44" spans="1:1" ht="23" x14ac:dyDescent="0.35">
      <c r="A44" s="46" t="s">
        <v>325</v>
      </c>
    </row>
    <row r="45" spans="1:1" x14ac:dyDescent="0.35">
      <c r="A45" s="47"/>
    </row>
    <row r="46" spans="1:1" x14ac:dyDescent="0.35">
      <c r="A46" s="48" t="s">
        <v>326</v>
      </c>
    </row>
    <row r="47" spans="1:1" x14ac:dyDescent="0.35">
      <c r="A47" s="48" t="s">
        <v>327</v>
      </c>
    </row>
    <row r="48" spans="1:1" x14ac:dyDescent="0.35">
      <c r="A48" s="48" t="s">
        <v>328</v>
      </c>
    </row>
    <row r="49" spans="1:1" x14ac:dyDescent="0.35">
      <c r="A49" s="48" t="s">
        <v>301</v>
      </c>
    </row>
    <row r="50" spans="1:1" x14ac:dyDescent="0.35">
      <c r="A50" s="48" t="s">
        <v>329</v>
      </c>
    </row>
    <row r="51" spans="1:1" x14ac:dyDescent="0.35">
      <c r="A51" s="48" t="s">
        <v>330</v>
      </c>
    </row>
    <row r="52" spans="1:1" x14ac:dyDescent="0.35">
      <c r="A52" s="48" t="s">
        <v>331</v>
      </c>
    </row>
    <row r="53" spans="1:1" x14ac:dyDescent="0.35">
      <c r="A53" s="48" t="s">
        <v>332</v>
      </c>
    </row>
    <row r="54" spans="1:1" x14ac:dyDescent="0.35">
      <c r="A54" s="48" t="s">
        <v>333</v>
      </c>
    </row>
    <row r="55" spans="1:1" x14ac:dyDescent="0.35">
      <c r="A55" s="49"/>
    </row>
    <row r="56" spans="1:1" x14ac:dyDescent="0.35">
      <c r="A56" s="50"/>
    </row>
    <row r="57" spans="1:1" x14ac:dyDescent="0.35">
      <c r="A57" s="49"/>
    </row>
    <row r="58" spans="1:1" ht="23" x14ac:dyDescent="0.35">
      <c r="A58" s="46" t="s">
        <v>334</v>
      </c>
    </row>
    <row r="59" spans="1:1" x14ac:dyDescent="0.35">
      <c r="A59" s="47"/>
    </row>
    <row r="60" spans="1:1" x14ac:dyDescent="0.35">
      <c r="A60" s="48" t="s">
        <v>335</v>
      </c>
    </row>
    <row r="61" spans="1:1" x14ac:dyDescent="0.35">
      <c r="A61" s="48" t="s">
        <v>336</v>
      </c>
    </row>
    <row r="62" spans="1:1" x14ac:dyDescent="0.35">
      <c r="A62" s="48" t="s">
        <v>337</v>
      </c>
    </row>
    <row r="63" spans="1:1" x14ac:dyDescent="0.35">
      <c r="A63" s="48" t="s">
        <v>338</v>
      </c>
    </row>
    <row r="64" spans="1:1" x14ac:dyDescent="0.35">
      <c r="A64" s="48" t="s">
        <v>339</v>
      </c>
    </row>
    <row r="65" spans="1:1" x14ac:dyDescent="0.35">
      <c r="A65" s="48" t="s">
        <v>326</v>
      </c>
    </row>
    <row r="66" spans="1:1" x14ac:dyDescent="0.35">
      <c r="A66" s="48" t="s">
        <v>340</v>
      </c>
    </row>
    <row r="67" spans="1:1" x14ac:dyDescent="0.35">
      <c r="A67" s="48" t="s">
        <v>341</v>
      </c>
    </row>
    <row r="68" spans="1:1" x14ac:dyDescent="0.35">
      <c r="A68" s="48" t="s">
        <v>342</v>
      </c>
    </row>
    <row r="69" spans="1:1" x14ac:dyDescent="0.35">
      <c r="A69" s="48" t="s">
        <v>343</v>
      </c>
    </row>
    <row r="70" spans="1:1" x14ac:dyDescent="0.35">
      <c r="A70" s="49"/>
    </row>
    <row r="71" spans="1:1" x14ac:dyDescent="0.35">
      <c r="A71" s="50"/>
    </row>
    <row r="72" spans="1:1" x14ac:dyDescent="0.35">
      <c r="A72" s="49"/>
    </row>
    <row r="73" spans="1:1" ht="23" x14ac:dyDescent="0.35">
      <c r="A73" s="46" t="s">
        <v>344</v>
      </c>
    </row>
    <row r="74" spans="1:1" x14ac:dyDescent="0.35">
      <c r="A74" s="47"/>
    </row>
    <row r="75" spans="1:1" x14ac:dyDescent="0.35">
      <c r="A75" s="48" t="s">
        <v>345</v>
      </c>
    </row>
    <row r="76" spans="1:1" x14ac:dyDescent="0.35">
      <c r="A76" s="48" t="s">
        <v>346</v>
      </c>
    </row>
    <row r="77" spans="1:1" x14ac:dyDescent="0.35">
      <c r="A77" s="48" t="s">
        <v>347</v>
      </c>
    </row>
    <row r="78" spans="1:1" x14ac:dyDescent="0.35">
      <c r="A78" s="48" t="s">
        <v>348</v>
      </c>
    </row>
    <row r="79" spans="1:1" x14ac:dyDescent="0.35">
      <c r="A79" s="48" t="s">
        <v>309</v>
      </c>
    </row>
    <row r="80" spans="1:1" x14ac:dyDescent="0.35">
      <c r="A80" s="48" t="s">
        <v>349</v>
      </c>
    </row>
    <row r="81" spans="1:1" x14ac:dyDescent="0.35">
      <c r="A81" s="48" t="s">
        <v>350</v>
      </c>
    </row>
    <row r="82" spans="1:1" x14ac:dyDescent="0.35">
      <c r="A82" s="48" t="s">
        <v>351</v>
      </c>
    </row>
    <row r="83" spans="1:1" x14ac:dyDescent="0.35">
      <c r="A83" s="48" t="s">
        <v>352</v>
      </c>
    </row>
    <row r="84" spans="1:1" x14ac:dyDescent="0.35">
      <c r="A84" s="49"/>
    </row>
    <row r="85" spans="1:1" x14ac:dyDescent="0.35">
      <c r="A85" s="50"/>
    </row>
    <row r="86" spans="1:1" x14ac:dyDescent="0.35">
      <c r="A86" s="49"/>
    </row>
    <row r="87" spans="1:1" ht="23" x14ac:dyDescent="0.35">
      <c r="A87" s="46" t="s">
        <v>353</v>
      </c>
    </row>
    <row r="88" spans="1:1" x14ac:dyDescent="0.35">
      <c r="A88" s="47"/>
    </row>
    <row r="89" spans="1:1" x14ac:dyDescent="0.35">
      <c r="A89" s="48" t="s">
        <v>354</v>
      </c>
    </row>
    <row r="90" spans="1:1" x14ac:dyDescent="0.35">
      <c r="A90" s="48" t="s">
        <v>355</v>
      </c>
    </row>
    <row r="91" spans="1:1" x14ac:dyDescent="0.35">
      <c r="A91" s="48" t="s">
        <v>356</v>
      </c>
    </row>
    <row r="92" spans="1:1" x14ac:dyDescent="0.35">
      <c r="A92" s="48" t="s">
        <v>357</v>
      </c>
    </row>
    <row r="93" spans="1:1" x14ac:dyDescent="0.35">
      <c r="A93" s="48" t="s">
        <v>358</v>
      </c>
    </row>
    <row r="94" spans="1:1" x14ac:dyDescent="0.35">
      <c r="A94" s="48" t="s">
        <v>359</v>
      </c>
    </row>
    <row r="95" spans="1:1" x14ac:dyDescent="0.35">
      <c r="A95" s="48" t="s">
        <v>360</v>
      </c>
    </row>
    <row r="96" spans="1:1" x14ac:dyDescent="0.35">
      <c r="A96" s="48" t="s">
        <v>361</v>
      </c>
    </row>
    <row r="97" spans="1:1" x14ac:dyDescent="0.35">
      <c r="A97" s="48" t="s">
        <v>362</v>
      </c>
    </row>
    <row r="98" spans="1:1" x14ac:dyDescent="0.35">
      <c r="A98" s="48" t="s">
        <v>363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1B7CDC-B624-45C1-AB5E-068372B2F4CD}">
  <dimension ref="B1:J52"/>
  <sheetViews>
    <sheetView topLeftCell="E6" zoomScale="130" zoomScaleNormal="130" workbookViewId="0">
      <selection activeCell="F19" sqref="F19"/>
    </sheetView>
  </sheetViews>
  <sheetFormatPr defaultRowHeight="14.5" x14ac:dyDescent="0.35"/>
  <cols>
    <col min="2" max="2" width="27.36328125" customWidth="1"/>
    <col min="3" max="3" width="7.1796875" customWidth="1"/>
    <col min="4" max="4" width="35.26953125" customWidth="1"/>
    <col min="5" max="5" width="3.6328125" customWidth="1"/>
    <col min="6" max="6" width="32.453125" customWidth="1"/>
    <col min="7" max="7" width="3.6328125" customWidth="1"/>
    <col min="8" max="8" width="32.90625" customWidth="1"/>
    <col min="9" max="9" width="3.6328125" customWidth="1"/>
    <col min="10" max="10" width="31.7265625" bestFit="1" customWidth="1"/>
    <col min="11" max="11" width="3.6328125" customWidth="1"/>
  </cols>
  <sheetData>
    <row r="1" spans="2:10" ht="14.5" customHeight="1" x14ac:dyDescent="0.35">
      <c r="B1" s="39" t="s">
        <v>19</v>
      </c>
      <c r="C1" s="26" t="s">
        <v>31</v>
      </c>
      <c r="D1" s="26" t="s">
        <v>16</v>
      </c>
      <c r="F1" s="68" t="s">
        <v>239</v>
      </c>
      <c r="G1" s="68"/>
      <c r="H1" s="68"/>
      <c r="I1" s="68"/>
      <c r="J1" s="68"/>
    </row>
    <row r="2" spans="2:10" x14ac:dyDescent="0.35">
      <c r="B2" s="39" t="s">
        <v>19</v>
      </c>
      <c r="C2" s="26" t="s">
        <v>31</v>
      </c>
      <c r="D2" s="26" t="s">
        <v>24</v>
      </c>
      <c r="F2" s="68"/>
      <c r="G2" s="68"/>
      <c r="H2" s="68"/>
      <c r="I2" s="68"/>
      <c r="J2" s="68"/>
    </row>
    <row r="3" spans="2:10" x14ac:dyDescent="0.35">
      <c r="B3" s="39" t="s">
        <v>18</v>
      </c>
      <c r="C3" s="26" t="s">
        <v>30</v>
      </c>
      <c r="D3" s="26" t="s">
        <v>16</v>
      </c>
      <c r="F3" s="68"/>
      <c r="G3" s="68"/>
      <c r="H3" s="68"/>
      <c r="I3" s="68"/>
      <c r="J3" s="68"/>
    </row>
    <row r="4" spans="2:10" x14ac:dyDescent="0.35">
      <c r="B4" s="39" t="s">
        <v>18</v>
      </c>
      <c r="C4" s="26" t="s">
        <v>30</v>
      </c>
      <c r="D4" s="26" t="s">
        <v>21</v>
      </c>
      <c r="F4" s="68"/>
      <c r="G4" s="68"/>
      <c r="H4" s="68"/>
      <c r="I4" s="68"/>
      <c r="J4" s="68"/>
    </row>
    <row r="5" spans="2:10" x14ac:dyDescent="0.35">
      <c r="B5" s="39" t="s">
        <v>59</v>
      </c>
      <c r="C5" s="26" t="s">
        <v>30</v>
      </c>
      <c r="D5" s="26" t="s">
        <v>21</v>
      </c>
      <c r="F5" s="68"/>
      <c r="G5" s="68"/>
      <c r="H5" s="68"/>
      <c r="I5" s="68"/>
      <c r="J5" s="68"/>
    </row>
    <row r="6" spans="2:10" x14ac:dyDescent="0.35">
      <c r="B6" s="39" t="s">
        <v>62</v>
      </c>
      <c r="C6" s="26" t="s">
        <v>30</v>
      </c>
      <c r="D6" s="26" t="s">
        <v>21</v>
      </c>
      <c r="F6" s="68"/>
      <c r="G6" s="68"/>
      <c r="H6" s="68"/>
      <c r="I6" s="68"/>
      <c r="J6" s="68"/>
    </row>
    <row r="7" spans="2:10" x14ac:dyDescent="0.35">
      <c r="B7" s="39" t="s">
        <v>68</v>
      </c>
      <c r="C7" s="26" t="s">
        <v>31</v>
      </c>
      <c r="D7" s="26" t="s">
        <v>24</v>
      </c>
      <c r="F7" s="68"/>
      <c r="G7" s="68"/>
      <c r="H7" s="68"/>
      <c r="I7" s="68"/>
      <c r="J7" s="68"/>
    </row>
    <row r="9" spans="2:10" x14ac:dyDescent="0.35">
      <c r="B9" s="37" t="s">
        <v>147</v>
      </c>
      <c r="D9" s="37" t="s">
        <v>162</v>
      </c>
      <c r="F9" s="37" t="s">
        <v>170</v>
      </c>
      <c r="H9" s="37" t="s">
        <v>182</v>
      </c>
      <c r="J9" s="37" t="s">
        <v>188</v>
      </c>
    </row>
    <row r="10" spans="2:10" x14ac:dyDescent="0.35">
      <c r="B10" t="s">
        <v>148</v>
      </c>
      <c r="D10" t="s">
        <v>163</v>
      </c>
      <c r="F10" t="s">
        <v>171</v>
      </c>
      <c r="H10" t="s">
        <v>183</v>
      </c>
      <c r="J10" t="s">
        <v>189</v>
      </c>
    </row>
    <row r="11" spans="2:10" x14ac:dyDescent="0.35">
      <c r="B11" t="s">
        <v>149</v>
      </c>
      <c r="D11" t="s">
        <v>164</v>
      </c>
      <c r="F11" t="s">
        <v>172</v>
      </c>
      <c r="H11" t="s">
        <v>184</v>
      </c>
      <c r="J11" t="s">
        <v>190</v>
      </c>
    </row>
    <row r="12" spans="2:10" x14ac:dyDescent="0.35">
      <c r="B12" t="s">
        <v>150</v>
      </c>
      <c r="D12" t="s">
        <v>165</v>
      </c>
      <c r="F12" t="s">
        <v>173</v>
      </c>
      <c r="H12" t="s">
        <v>185</v>
      </c>
      <c r="J12" t="s">
        <v>191</v>
      </c>
    </row>
    <row r="13" spans="2:10" x14ac:dyDescent="0.35">
      <c r="B13" t="s">
        <v>151</v>
      </c>
      <c r="D13" t="s">
        <v>166</v>
      </c>
      <c r="F13" t="s">
        <v>174</v>
      </c>
      <c r="H13" t="s">
        <v>186</v>
      </c>
      <c r="J13" t="s">
        <v>192</v>
      </c>
    </row>
    <row r="14" spans="2:10" x14ac:dyDescent="0.35">
      <c r="B14" t="s">
        <v>152</v>
      </c>
      <c r="D14" t="s">
        <v>167</v>
      </c>
      <c r="F14" t="s">
        <v>175</v>
      </c>
      <c r="H14" t="s">
        <v>187</v>
      </c>
      <c r="J14" t="s">
        <v>193</v>
      </c>
    </row>
    <row r="15" spans="2:10" x14ac:dyDescent="0.35">
      <c r="B15" t="s">
        <v>153</v>
      </c>
      <c r="D15" t="s">
        <v>168</v>
      </c>
      <c r="F15" t="s">
        <v>176</v>
      </c>
    </row>
    <row r="16" spans="2:10" x14ac:dyDescent="0.35">
      <c r="B16" t="s">
        <v>154</v>
      </c>
      <c r="D16" t="s">
        <v>169</v>
      </c>
      <c r="F16" t="s">
        <v>177</v>
      </c>
    </row>
    <row r="17" spans="2:10" x14ac:dyDescent="0.35">
      <c r="B17" t="s">
        <v>155</v>
      </c>
      <c r="F17" t="s">
        <v>178</v>
      </c>
    </row>
    <row r="18" spans="2:10" x14ac:dyDescent="0.35">
      <c r="B18" t="s">
        <v>156</v>
      </c>
      <c r="F18" t="s">
        <v>179</v>
      </c>
    </row>
    <row r="19" spans="2:10" x14ac:dyDescent="0.35">
      <c r="B19" t="s">
        <v>157</v>
      </c>
      <c r="F19" t="s">
        <v>180</v>
      </c>
    </row>
    <row r="20" spans="2:10" x14ac:dyDescent="0.35">
      <c r="B20" t="s">
        <v>158</v>
      </c>
      <c r="F20" t="s">
        <v>181</v>
      </c>
    </row>
    <row r="21" spans="2:10" x14ac:dyDescent="0.35">
      <c r="B21" t="s">
        <v>159</v>
      </c>
    </row>
    <row r="22" spans="2:10" x14ac:dyDescent="0.35">
      <c r="B22" t="s">
        <v>160</v>
      </c>
    </row>
    <row r="23" spans="2:10" x14ac:dyDescent="0.35">
      <c r="B23" t="s">
        <v>161</v>
      </c>
    </row>
    <row r="27" spans="2:10" x14ac:dyDescent="0.35">
      <c r="B27" s="39" t="s">
        <v>55</v>
      </c>
      <c r="C27" s="26" t="s">
        <v>82</v>
      </c>
      <c r="D27" s="26" t="s">
        <v>21</v>
      </c>
      <c r="F27" s="69" t="s">
        <v>250</v>
      </c>
      <c r="G27" s="69"/>
      <c r="H27" s="69"/>
      <c r="I27" s="69"/>
      <c r="J27" s="69"/>
    </row>
    <row r="28" spans="2:10" x14ac:dyDescent="0.35">
      <c r="B28" s="39" t="s">
        <v>57</v>
      </c>
      <c r="C28" s="26" t="s">
        <v>82</v>
      </c>
      <c r="D28" s="26" t="s">
        <v>21</v>
      </c>
      <c r="F28" s="69" t="s">
        <v>251</v>
      </c>
      <c r="G28" s="69"/>
      <c r="H28" s="69"/>
      <c r="I28" s="69"/>
      <c r="J28" s="69"/>
    </row>
    <row r="29" spans="2:10" ht="31" customHeight="1" x14ac:dyDescent="0.35">
      <c r="B29" s="39" t="s">
        <v>60</v>
      </c>
      <c r="C29" s="26" t="s">
        <v>82</v>
      </c>
      <c r="D29" s="26" t="s">
        <v>21</v>
      </c>
      <c r="F29" s="67" t="s">
        <v>252</v>
      </c>
      <c r="G29" s="67"/>
      <c r="H29" s="67"/>
      <c r="I29" s="67"/>
      <c r="J29" s="67"/>
    </row>
    <row r="30" spans="2:10" ht="29.5" customHeight="1" x14ac:dyDescent="0.35">
      <c r="B30" s="39" t="s">
        <v>64</v>
      </c>
      <c r="C30" s="26" t="s">
        <v>82</v>
      </c>
      <c r="D30" s="26" t="s">
        <v>21</v>
      </c>
      <c r="F30" s="67" t="s">
        <v>253</v>
      </c>
      <c r="G30" s="67"/>
      <c r="H30" s="67"/>
      <c r="I30" s="67"/>
      <c r="J30" s="67"/>
    </row>
    <row r="31" spans="2:10" ht="20" x14ac:dyDescent="0.35">
      <c r="B31" s="39" t="s">
        <v>69</v>
      </c>
      <c r="C31" s="26" t="s">
        <v>85</v>
      </c>
      <c r="D31" s="26" t="s">
        <v>24</v>
      </c>
      <c r="F31" s="67" t="s">
        <v>254</v>
      </c>
      <c r="G31" s="67"/>
      <c r="H31" s="67"/>
      <c r="I31" s="67"/>
      <c r="J31" s="67"/>
    </row>
    <row r="32" spans="2:10" x14ac:dyDescent="0.35">
      <c r="B32" s="45"/>
    </row>
    <row r="34" spans="2:8" x14ac:dyDescent="0.35">
      <c r="B34" s="37" t="s">
        <v>205</v>
      </c>
      <c r="D34" s="37" t="s">
        <v>208</v>
      </c>
      <c r="F34" s="37" t="s">
        <v>213</v>
      </c>
      <c r="H34" s="37" t="s">
        <v>215</v>
      </c>
    </row>
    <row r="35" spans="2:8" x14ac:dyDescent="0.35">
      <c r="B35" t="s">
        <v>206</v>
      </c>
      <c r="D35" t="s">
        <v>209</v>
      </c>
      <c r="F35" t="s">
        <v>214</v>
      </c>
      <c r="H35" t="s">
        <v>216</v>
      </c>
    </row>
    <row r="36" spans="2:8" x14ac:dyDescent="0.35">
      <c r="B36" t="s">
        <v>164</v>
      </c>
      <c r="D36" t="s">
        <v>210</v>
      </c>
      <c r="F36" t="s">
        <v>171</v>
      </c>
      <c r="H36" t="s">
        <v>179</v>
      </c>
    </row>
    <row r="37" spans="2:8" x14ac:dyDescent="0.35">
      <c r="B37" t="s">
        <v>166</v>
      </c>
      <c r="D37" t="s">
        <v>211</v>
      </c>
      <c r="F37" t="s">
        <v>176</v>
      </c>
      <c r="H37" t="s">
        <v>217</v>
      </c>
    </row>
    <row r="38" spans="2:8" x14ac:dyDescent="0.35">
      <c r="B38" t="s">
        <v>207</v>
      </c>
      <c r="D38" t="s">
        <v>212</v>
      </c>
      <c r="F38" t="s">
        <v>172</v>
      </c>
      <c r="H38" t="s">
        <v>218</v>
      </c>
    </row>
    <row r="39" spans="2:8" x14ac:dyDescent="0.35">
      <c r="B39" t="s">
        <v>168</v>
      </c>
    </row>
    <row r="41" spans="2:8" x14ac:dyDescent="0.35">
      <c r="B41" s="37" t="s">
        <v>219</v>
      </c>
      <c r="D41" s="37" t="s">
        <v>222</v>
      </c>
      <c r="F41" s="37" t="s">
        <v>224</v>
      </c>
      <c r="H41" s="37" t="s">
        <v>228</v>
      </c>
    </row>
    <row r="42" spans="2:8" x14ac:dyDescent="0.35">
      <c r="B42" t="s">
        <v>158</v>
      </c>
      <c r="D42" t="s">
        <v>166</v>
      </c>
      <c r="F42" t="s">
        <v>225</v>
      </c>
      <c r="H42" t="s">
        <v>229</v>
      </c>
    </row>
    <row r="43" spans="2:8" x14ac:dyDescent="0.35">
      <c r="B43" t="s">
        <v>220</v>
      </c>
      <c r="D43" t="s">
        <v>165</v>
      </c>
      <c r="F43" t="s">
        <v>226</v>
      </c>
    </row>
    <row r="44" spans="2:8" x14ac:dyDescent="0.35">
      <c r="B44" t="s">
        <v>159</v>
      </c>
      <c r="D44" t="s">
        <v>153</v>
      </c>
      <c r="F44" t="s">
        <v>227</v>
      </c>
    </row>
    <row r="45" spans="2:8" x14ac:dyDescent="0.35">
      <c r="B45" t="s">
        <v>161</v>
      </c>
      <c r="D45" t="s">
        <v>211</v>
      </c>
    </row>
    <row r="46" spans="2:8" x14ac:dyDescent="0.35">
      <c r="B46" t="s">
        <v>221</v>
      </c>
      <c r="D46" t="s">
        <v>212</v>
      </c>
    </row>
    <row r="47" spans="2:8" x14ac:dyDescent="0.35">
      <c r="B47" t="s">
        <v>160</v>
      </c>
      <c r="D47" t="s">
        <v>223</v>
      </c>
    </row>
    <row r="49" spans="2:6" x14ac:dyDescent="0.35">
      <c r="B49" s="37" t="s">
        <v>230</v>
      </c>
      <c r="D49" s="37" t="s">
        <v>233</v>
      </c>
      <c r="F49" s="37" t="s">
        <v>237</v>
      </c>
    </row>
    <row r="50" spans="2:6" x14ac:dyDescent="0.35">
      <c r="B50" t="s">
        <v>231</v>
      </c>
      <c r="D50" t="s">
        <v>234</v>
      </c>
      <c r="F50" t="s">
        <v>238</v>
      </c>
    </row>
    <row r="51" spans="2:6" x14ac:dyDescent="0.35">
      <c r="B51" t="s">
        <v>169</v>
      </c>
      <c r="D51" t="s">
        <v>235</v>
      </c>
    </row>
    <row r="52" spans="2:6" x14ac:dyDescent="0.35">
      <c r="B52" t="s">
        <v>232</v>
      </c>
      <c r="D52" t="s">
        <v>236</v>
      </c>
    </row>
  </sheetData>
  <mergeCells count="6">
    <mergeCell ref="F31:J31"/>
    <mergeCell ref="F1:J7"/>
    <mergeCell ref="F29:J29"/>
    <mergeCell ref="F27:J27"/>
    <mergeCell ref="F28:J28"/>
    <mergeCell ref="F30:J30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852CF5-7D07-4CE1-B4A2-40220E3348AC}">
  <dimension ref="B4:I24"/>
  <sheetViews>
    <sheetView zoomScale="130" zoomScaleNormal="130" workbookViewId="0"/>
  </sheetViews>
  <sheetFormatPr defaultRowHeight="14.5" x14ac:dyDescent="0.35"/>
  <sheetData>
    <row r="4" spans="2:9" x14ac:dyDescent="0.35">
      <c r="B4" t="s">
        <v>255</v>
      </c>
    </row>
    <row r="5" spans="2:9" x14ac:dyDescent="0.35">
      <c r="B5" t="s">
        <v>256</v>
      </c>
      <c r="C5" t="s">
        <v>257</v>
      </c>
      <c r="D5" t="s">
        <v>258</v>
      </c>
      <c r="E5" t="s">
        <v>259</v>
      </c>
      <c r="F5" t="s">
        <v>260</v>
      </c>
      <c r="G5" t="s">
        <v>261</v>
      </c>
      <c r="H5" t="s">
        <v>262</v>
      </c>
      <c r="I5" t="s">
        <v>263</v>
      </c>
    </row>
    <row r="6" spans="2:9" x14ac:dyDescent="0.35">
      <c r="B6" t="s">
        <v>264</v>
      </c>
      <c r="C6" t="s">
        <v>265</v>
      </c>
      <c r="D6" t="s">
        <v>265</v>
      </c>
      <c r="E6" t="s">
        <v>183</v>
      </c>
      <c r="F6" t="s">
        <v>266</v>
      </c>
      <c r="G6" t="s">
        <v>266</v>
      </c>
      <c r="H6" t="s">
        <v>267</v>
      </c>
      <c r="I6" t="s">
        <v>268</v>
      </c>
    </row>
    <row r="7" spans="2:9" x14ac:dyDescent="0.35">
      <c r="B7" t="s">
        <v>264</v>
      </c>
      <c r="C7" t="s">
        <v>221</v>
      </c>
      <c r="D7" t="s">
        <v>171</v>
      </c>
      <c r="E7" t="s">
        <v>266</v>
      </c>
      <c r="F7" t="s">
        <v>266</v>
      </c>
      <c r="G7" t="s">
        <v>266</v>
      </c>
      <c r="H7" t="s">
        <v>269</v>
      </c>
      <c r="I7" t="s">
        <v>270</v>
      </c>
    </row>
    <row r="8" spans="2:9" x14ac:dyDescent="0.35">
      <c r="B8" t="s">
        <v>264</v>
      </c>
      <c r="C8" t="s">
        <v>221</v>
      </c>
      <c r="D8" t="s">
        <v>172</v>
      </c>
      <c r="E8" t="s">
        <v>183</v>
      </c>
      <c r="F8" t="s">
        <v>183</v>
      </c>
      <c r="G8" t="s">
        <v>183</v>
      </c>
      <c r="H8" t="s">
        <v>269</v>
      </c>
      <c r="I8" t="s">
        <v>268</v>
      </c>
    </row>
    <row r="9" spans="2:9" x14ac:dyDescent="0.35">
      <c r="B9" t="s">
        <v>264</v>
      </c>
      <c r="C9" t="s">
        <v>221</v>
      </c>
      <c r="D9" t="s">
        <v>171</v>
      </c>
      <c r="E9" t="s">
        <v>183</v>
      </c>
      <c r="F9" t="s">
        <v>183</v>
      </c>
      <c r="G9" t="s">
        <v>183</v>
      </c>
      <c r="H9" t="s">
        <v>271</v>
      </c>
      <c r="I9" t="s">
        <v>272</v>
      </c>
    </row>
    <row r="10" spans="2:9" x14ac:dyDescent="0.35">
      <c r="B10" t="s">
        <v>264</v>
      </c>
      <c r="C10" t="s">
        <v>221</v>
      </c>
      <c r="D10" t="s">
        <v>171</v>
      </c>
      <c r="E10" t="s">
        <v>183</v>
      </c>
      <c r="F10" t="s">
        <v>183</v>
      </c>
      <c r="G10" t="s">
        <v>183</v>
      </c>
      <c r="H10" t="s">
        <v>273</v>
      </c>
      <c r="I10" t="s">
        <v>274</v>
      </c>
    </row>
    <row r="11" spans="2:9" x14ac:dyDescent="0.35">
      <c r="B11" t="s">
        <v>264</v>
      </c>
      <c r="C11" t="s">
        <v>221</v>
      </c>
      <c r="D11" t="s">
        <v>171</v>
      </c>
      <c r="E11" t="s">
        <v>183</v>
      </c>
      <c r="F11" t="s">
        <v>183</v>
      </c>
      <c r="G11" t="s">
        <v>183</v>
      </c>
      <c r="H11" t="s">
        <v>273</v>
      </c>
      <c r="I11" t="s">
        <v>274</v>
      </c>
    </row>
    <row r="12" spans="2:9" x14ac:dyDescent="0.35">
      <c r="B12" t="s">
        <v>264</v>
      </c>
      <c r="C12" t="s">
        <v>221</v>
      </c>
      <c r="D12" t="s">
        <v>171</v>
      </c>
      <c r="E12" t="s">
        <v>183</v>
      </c>
      <c r="F12" t="s">
        <v>266</v>
      </c>
      <c r="G12" t="s">
        <v>266</v>
      </c>
      <c r="H12" t="s">
        <v>267</v>
      </c>
      <c r="I12" t="s">
        <v>275</v>
      </c>
    </row>
    <row r="15" spans="2:9" ht="15" x14ac:dyDescent="0.4">
      <c r="B15" t="s">
        <v>276</v>
      </c>
    </row>
    <row r="16" spans="2:9" x14ac:dyDescent="0.35">
      <c r="B16" t="s">
        <v>256</v>
      </c>
      <c r="C16" t="s">
        <v>257</v>
      </c>
      <c r="D16" t="s">
        <v>258</v>
      </c>
      <c r="E16" t="s">
        <v>259</v>
      </c>
      <c r="F16" t="s">
        <v>260</v>
      </c>
      <c r="G16" t="s">
        <v>261</v>
      </c>
      <c r="H16" t="s">
        <v>262</v>
      </c>
      <c r="I16" t="s">
        <v>263</v>
      </c>
    </row>
    <row r="17" spans="2:9" x14ac:dyDescent="0.35">
      <c r="B17" t="s">
        <v>277</v>
      </c>
      <c r="C17" t="s">
        <v>150</v>
      </c>
      <c r="D17" t="s">
        <v>171</v>
      </c>
      <c r="E17" t="s">
        <v>183</v>
      </c>
      <c r="F17" t="s">
        <v>183</v>
      </c>
      <c r="G17" t="s">
        <v>183</v>
      </c>
      <c r="H17" t="s">
        <v>271</v>
      </c>
      <c r="I17" t="s">
        <v>274</v>
      </c>
    </row>
    <row r="18" spans="2:9" x14ac:dyDescent="0.35">
      <c r="B18" t="s">
        <v>277</v>
      </c>
      <c r="C18" t="s">
        <v>278</v>
      </c>
      <c r="D18" t="s">
        <v>279</v>
      </c>
      <c r="E18" t="s">
        <v>280</v>
      </c>
      <c r="F18" t="s">
        <v>266</v>
      </c>
      <c r="G18" t="s">
        <v>281</v>
      </c>
      <c r="H18" t="s">
        <v>267</v>
      </c>
      <c r="I18" t="s">
        <v>282</v>
      </c>
    </row>
    <row r="19" spans="2:9" x14ac:dyDescent="0.35">
      <c r="B19" t="s">
        <v>283</v>
      </c>
      <c r="C19" t="s">
        <v>284</v>
      </c>
      <c r="D19" t="s">
        <v>266</v>
      </c>
      <c r="E19" t="s">
        <v>266</v>
      </c>
      <c r="F19" t="s">
        <v>266</v>
      </c>
      <c r="G19" t="s">
        <v>266</v>
      </c>
      <c r="H19" t="s">
        <v>269</v>
      </c>
      <c r="I19" t="s">
        <v>269</v>
      </c>
    </row>
    <row r="20" spans="2:9" x14ac:dyDescent="0.35">
      <c r="B20" t="s">
        <v>285</v>
      </c>
      <c r="C20" t="s">
        <v>286</v>
      </c>
      <c r="D20" t="s">
        <v>266</v>
      </c>
      <c r="E20" t="s">
        <v>266</v>
      </c>
      <c r="F20" t="s">
        <v>266</v>
      </c>
      <c r="G20" t="s">
        <v>266</v>
      </c>
      <c r="H20" t="s">
        <v>269</v>
      </c>
      <c r="I20" t="s">
        <v>269</v>
      </c>
    </row>
    <row r="21" spans="2:9" x14ac:dyDescent="0.35">
      <c r="B21" t="s">
        <v>277</v>
      </c>
      <c r="C21" t="s">
        <v>221</v>
      </c>
      <c r="D21" t="s">
        <v>172</v>
      </c>
      <c r="E21" t="s">
        <v>183</v>
      </c>
      <c r="F21" t="s">
        <v>183</v>
      </c>
      <c r="G21" t="s">
        <v>183</v>
      </c>
      <c r="H21" t="s">
        <v>271</v>
      </c>
      <c r="I21" t="s">
        <v>270</v>
      </c>
    </row>
    <row r="22" spans="2:9" x14ac:dyDescent="0.35">
      <c r="B22" t="s">
        <v>277</v>
      </c>
      <c r="C22" t="s">
        <v>221</v>
      </c>
      <c r="D22" t="s">
        <v>171</v>
      </c>
      <c r="E22" t="s">
        <v>183</v>
      </c>
      <c r="F22" t="s">
        <v>183</v>
      </c>
      <c r="G22" t="s">
        <v>183</v>
      </c>
      <c r="H22" t="s">
        <v>271</v>
      </c>
      <c r="I22" t="s">
        <v>287</v>
      </c>
    </row>
    <row r="23" spans="2:9" x14ac:dyDescent="0.35">
      <c r="B23" t="s">
        <v>277</v>
      </c>
      <c r="C23" t="s">
        <v>286</v>
      </c>
      <c r="D23" t="s">
        <v>266</v>
      </c>
      <c r="E23" t="s">
        <v>266</v>
      </c>
      <c r="F23" t="s">
        <v>266</v>
      </c>
      <c r="G23" t="s">
        <v>266</v>
      </c>
      <c r="H23" t="s">
        <v>269</v>
      </c>
      <c r="I23" t="s">
        <v>269</v>
      </c>
    </row>
    <row r="24" spans="2:9" x14ac:dyDescent="0.35">
      <c r="B24" t="s">
        <v>277</v>
      </c>
      <c r="C24" t="s">
        <v>286</v>
      </c>
      <c r="D24" t="s">
        <v>171</v>
      </c>
      <c r="E24" t="s">
        <v>288</v>
      </c>
      <c r="F24" t="s">
        <v>266</v>
      </c>
      <c r="G24" t="s">
        <v>288</v>
      </c>
      <c r="H24" t="s">
        <v>271</v>
      </c>
      <c r="I24" t="s">
        <v>289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FC102D493A39B2419B6834134514A928" ma:contentTypeVersion="15" ma:contentTypeDescription="Crear nuevo documento." ma:contentTypeScope="" ma:versionID="d01e0109bf6dea2fbada290e24a0079e">
  <xsd:schema xmlns:xsd="http://www.w3.org/2001/XMLSchema" xmlns:xs="http://www.w3.org/2001/XMLSchema" xmlns:p="http://schemas.microsoft.com/office/2006/metadata/properties" xmlns:ns2="882a8f42-f1f9-4ba8-a024-a9506b2a3f1b" xmlns:ns3="f3dc767a-0b06-462e-8350-fa01f76d53d6" targetNamespace="http://schemas.microsoft.com/office/2006/metadata/properties" ma:root="true" ma:fieldsID="5475975345732b2580ec347e706b0322" ns2:_="" ns3:_="">
    <xsd:import namespace="882a8f42-f1f9-4ba8-a024-a9506b2a3f1b"/>
    <xsd:import namespace="f3dc767a-0b06-462e-8350-fa01f76d53d6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lcf76f155ced4ddcb4097134ff3c332f" minOccurs="0"/>
                <xsd:element ref="ns2:TaxCatchAll" minOccurs="0"/>
                <xsd:element ref="ns3:MediaServiceObjectDetectorVersion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Comentario" minOccurs="0"/>
                <xsd:element ref="ns3:MediaServiceSearchProperties" minOccurs="0"/>
                <xsd:element ref="ns3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82a8f42-f1f9-4ba8-a024-a9506b2a3f1b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14" nillable="true" ma:displayName="Taxonomy Catch All Column" ma:hidden="true" ma:list="{f44fbe55-65c2-4a82-aced-26d58d998ec7}" ma:internalName="TaxCatchAll" ma:showField="CatchAllData" ma:web="882a8f42-f1f9-4ba8-a024-a9506b2a3f1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3dc767a-0b06-462e-8350-fa01f76d53d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f4ed2e6d-de4a-4cf6-945c-3cfc53fe12c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15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9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Comentario" ma:index="20" nillable="true" ma:displayName="Comentario" ma:format="Dropdown" ma:internalName="Comentario">
      <xsd:simpleType>
        <xsd:restriction base="dms:Text">
          <xsd:maxLength value="255"/>
        </xsd:restriction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LengthInSeconds" ma:index="22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882a8f42-f1f9-4ba8-a024-a9506b2a3f1b" xsi:nil="true"/>
    <Comentario xmlns="f3dc767a-0b06-462e-8350-fa01f76d53d6" xsi:nil="true"/>
    <lcf76f155ced4ddcb4097134ff3c332f xmlns="f3dc767a-0b06-462e-8350-fa01f76d53d6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F2F9F198-AAB3-4743-83B7-70E545DDE86B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E69E7B37-066B-460B-9CC0-96F997D136F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82a8f42-f1f9-4ba8-a024-a9506b2a3f1b"/>
    <ds:schemaRef ds:uri="f3dc767a-0b06-462e-8350-fa01f76d53d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784A4964-F218-48FA-B8A8-6EC1F8CC6785}">
  <ds:schemaRefs>
    <ds:schemaRef ds:uri="http://schemas.microsoft.com/office/2006/metadata/properties"/>
    <ds:schemaRef ds:uri="http://purl.org/dc/dcmitype/"/>
    <ds:schemaRef ds:uri="http://schemas.openxmlformats.org/package/2006/metadata/core-properties"/>
    <ds:schemaRef ds:uri="http://www.w3.org/XML/1998/namespace"/>
    <ds:schemaRef ds:uri="882a8f42-f1f9-4ba8-a024-a9506b2a3f1b"/>
    <ds:schemaRef ds:uri="http://purl.org/dc/terms/"/>
    <ds:schemaRef ds:uri="http://schemas.microsoft.com/office/2006/documentManagement/types"/>
    <ds:schemaRef ds:uri="http://schemas.microsoft.com/office/infopath/2007/PartnerControls"/>
    <ds:schemaRef ds:uri="f3dc767a-0b06-462e-8350-fa01f76d53d6"/>
    <ds:schemaRef ds:uri="http://purl.org/dc/elements/1.1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9</vt:i4>
      </vt:variant>
      <vt:variant>
        <vt:lpstr>Named Ranges</vt:lpstr>
      </vt:variant>
      <vt:variant>
        <vt:i4>1</vt:i4>
      </vt:variant>
    </vt:vector>
  </HeadingPairs>
  <TitlesOfParts>
    <vt:vector size="10" baseType="lpstr">
      <vt:lpstr>Líneas de acción</vt:lpstr>
      <vt:lpstr>Cantidad de Expedientes</vt:lpstr>
      <vt:lpstr>Requerimiento</vt:lpstr>
      <vt:lpstr>Cursos_certificaciones</vt:lpstr>
      <vt:lpstr>Sheet2</vt:lpstr>
      <vt:lpstr>Sheet3</vt:lpstr>
      <vt:lpstr>Estudios nivel superior acredit</vt:lpstr>
      <vt:lpstr>Tecnologías AT (anexo técnico)</vt:lpstr>
      <vt:lpstr>Sheet1</vt:lpstr>
      <vt:lpstr>Requerimiento!_Toc215836701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 ABC</dc:creator>
  <cp:lastModifiedBy>Raquel Lizue Martínez Ramos</cp:lastModifiedBy>
  <dcterms:created xsi:type="dcterms:W3CDTF">2025-12-29T15:28:14Z</dcterms:created>
  <dcterms:modified xsi:type="dcterms:W3CDTF">2026-04-22T01:30:50Z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0x010100FC102D493A39B2419B6834134514A928</vt:lpwstr>
  </property>
  <property fmtid="{D5CDD505-2E9C-101B-9397-08002B2CF9AE}" pid="3" name="MediaServiceImageTags">
    <vt:lpwstr/>
  </property>
</Properties>
</file>