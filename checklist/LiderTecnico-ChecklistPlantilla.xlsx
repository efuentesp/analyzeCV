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aquell.martinez\Documents\AISolutions\analyzeCV\checklist\"/>
    </mc:Choice>
  </mc:AlternateContent>
  <xr:revisionPtr revIDLastSave="0" documentId="13_ncr:1_{E2C8EDDF-94C1-43F0-BA12-7AC338B520E5}" xr6:coauthVersionLast="47" xr6:coauthVersionMax="47" xr10:uidLastSave="{00000000-0000-0000-0000-000000000000}"/>
  <bookViews>
    <workbookView xWindow="28680" yWindow="-120" windowWidth="29040" windowHeight="15720" xr2:uid="{6619AB87-14C8-47B4-9B69-EDED2AE6CF23}"/>
  </bookViews>
  <sheets>
    <sheet name="Sheet1" sheetId="1" r:id="rId1"/>
  </sheets>
  <definedNames>
    <definedName name="_xlnm._FilterDatabase" localSheetId="0" hidden="1">Sheet1!$E$1:$E$154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1" i="1" l="1"/>
  <c r="B142" i="1" s="1"/>
  <c r="B143" i="1" s="1"/>
  <c r="B121" i="1"/>
  <c r="B122" i="1" s="1"/>
  <c r="B123" i="1" s="1"/>
  <c r="B124" i="1" s="1"/>
  <c r="B125" i="1" s="1"/>
  <c r="B126" i="1" s="1"/>
  <c r="B127" i="1" s="1"/>
  <c r="B128" i="1" s="1"/>
  <c r="B129" i="1" s="1"/>
  <c r="B130" i="1" s="1"/>
  <c r="B131" i="1" s="1"/>
  <c r="B132" i="1" s="1"/>
  <c r="B133" i="1" s="1"/>
  <c r="B134" i="1" s="1"/>
  <c r="B135" i="1" s="1"/>
  <c r="B136" i="1" s="1"/>
  <c r="B137" i="1" s="1"/>
  <c r="B138" i="1" s="1"/>
  <c r="B139" i="1" s="1"/>
  <c r="B31" i="1"/>
  <c r="B32" i="1" s="1"/>
  <c r="B33" i="1" s="1"/>
  <c r="B34" i="1" s="1"/>
  <c r="B35" i="1" s="1"/>
  <c r="B36" i="1" s="1"/>
  <c r="B37" i="1" s="1"/>
  <c r="B38" i="1" s="1"/>
  <c r="B39" i="1" s="1"/>
  <c r="B40" i="1" s="1"/>
  <c r="B41" i="1" s="1"/>
  <c r="B42" i="1" s="1"/>
  <c r="B43" i="1" s="1"/>
  <c r="B44" i="1" s="1"/>
  <c r="B45" i="1" s="1"/>
  <c r="B46" i="1" s="1"/>
  <c r="B47" i="1" s="1"/>
  <c r="B48" i="1" s="1"/>
  <c r="B50" i="1" s="1"/>
  <c r="B51" i="1" s="1"/>
  <c r="B52" i="1" s="1"/>
  <c r="B53" i="1" s="1"/>
  <c r="B54" i="1" s="1"/>
  <c r="B55" i="1" s="1"/>
  <c r="B56" i="1" s="1"/>
  <c r="B57" i="1" s="1"/>
  <c r="B59" i="1" s="1"/>
  <c r="B60" i="1" s="1"/>
  <c r="B61" i="1" s="1"/>
  <c r="B62" i="1" s="1"/>
  <c r="B64" i="1" s="1"/>
  <c r="B65" i="1" s="1"/>
  <c r="B66" i="1" s="1"/>
  <c r="B67" i="1" s="1"/>
  <c r="B68" i="1" s="1"/>
  <c r="B69" i="1" s="1"/>
  <c r="B70" i="1" s="1"/>
  <c r="B71" i="1" s="1"/>
  <c r="B72" i="1" s="1"/>
  <c r="B73" i="1" s="1"/>
  <c r="B74" i="1" s="1"/>
  <c r="B75" i="1" s="1"/>
  <c r="B76" i="1" s="1"/>
  <c r="B77" i="1" s="1"/>
  <c r="B78" i="1" s="1"/>
  <c r="B79" i="1" s="1"/>
  <c r="B80" i="1" s="1"/>
  <c r="B81"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23" i="1"/>
  <c r="B24" i="1" s="1"/>
  <c r="B25" i="1" s="1"/>
  <c r="B26" i="1" s="1"/>
  <c r="B27" i="1" s="1"/>
  <c r="B12" i="1"/>
  <c r="B13" i="1" s="1"/>
  <c r="B14" i="1" s="1"/>
  <c r="B15" i="1" s="1"/>
  <c r="B16" i="1" s="1"/>
  <c r="B17" i="1" s="1"/>
  <c r="B18" i="1" s="1"/>
  <c r="B19" i="1" s="1"/>
  <c r="B20" i="1" s="1"/>
  <c r="G152" i="1" l="1"/>
  <c r="E152" i="1"/>
  <c r="G151" i="1"/>
  <c r="E151" i="1"/>
  <c r="G150" i="1"/>
  <c r="E150" i="1"/>
  <c r="G147" i="1" l="1"/>
  <c r="E147" i="1"/>
  <c r="E149" i="1" l="1"/>
  <c r="E154" i="1" s="1"/>
  <c r="G149" i="1" l="1"/>
  <c r="G154" i="1" s="1"/>
</calcChain>
</file>

<file path=xl/sharedStrings.xml><?xml version="1.0" encoding="utf-8"?>
<sst xmlns="http://schemas.openxmlformats.org/spreadsheetml/2006/main" count="460" uniqueCount="239">
  <si>
    <r>
      <rPr>
        <sz val="8"/>
        <rFont val="Microsoft Uighur"/>
        <charset val="178"/>
      </rPr>
      <t>BHE - DSD - 2+B1:E2726</t>
    </r>
    <r>
      <rPr>
        <b/>
        <sz val="14"/>
        <rFont val="Tahoma"/>
        <family val="2"/>
      </rPr>
      <t xml:space="preserve">                             Softtek - Revisión de CV's</t>
    </r>
  </si>
  <si>
    <t>OK</t>
  </si>
  <si>
    <t>NO OK</t>
  </si>
  <si>
    <t xml:space="preserve">Cliente: </t>
  </si>
  <si>
    <t>SAT</t>
  </si>
  <si>
    <t>No Aplica</t>
  </si>
  <si>
    <t>Propuesta:</t>
  </si>
  <si>
    <t>SMDA 7</t>
  </si>
  <si>
    <t>Se agrupan los puntos por temas se buscará hacerlo de acuerdo a la tabla de puntos</t>
  </si>
  <si>
    <r>
      <t xml:space="preserve">Fecha: </t>
    </r>
    <r>
      <rPr>
        <sz val="8"/>
        <rFont val="Tahoma"/>
        <family val="2"/>
      </rPr>
      <t>dd/mm/aaaa</t>
    </r>
  </si>
  <si>
    <t>17-03-2026</t>
  </si>
  <si>
    <r>
      <t xml:space="preserve">Revisor: </t>
    </r>
    <r>
      <rPr>
        <sz val="8"/>
        <rFont val="Tahoma"/>
        <family val="2"/>
      </rPr>
      <t>Nombre (IS)</t>
    </r>
  </si>
  <si>
    <t>Expediente de cada participante</t>
  </si>
  <si>
    <t>#</t>
  </si>
  <si>
    <t>Concepto</t>
  </si>
  <si>
    <t>Descripción</t>
  </si>
  <si>
    <t>OK?</t>
  </si>
  <si>
    <t>Observaciones del Revisor</t>
  </si>
  <si>
    <t>Sección</t>
  </si>
  <si>
    <t>Formato del Documento</t>
  </si>
  <si>
    <t>Detalle</t>
  </si>
  <si>
    <r>
      <t>¿Los</t>
    </r>
    <r>
      <rPr>
        <b/>
        <sz val="9"/>
        <rFont val="Segoe UI"/>
        <family val="2"/>
      </rPr>
      <t xml:space="preserve"> datos de la licitación</t>
    </r>
    <r>
      <rPr>
        <sz val="9"/>
        <rFont val="Segoe UI"/>
        <family val="2"/>
      </rPr>
      <t xml:space="preserve"> (ID, razón social, RFC) del CV coinciden exactamente con la convocatoria y la razón social del licitante?</t>
    </r>
  </si>
  <si>
    <t>Licitación: ###################
BFS Ingeniería Aplicada S.A. de C.V.   
Todos los Derechos Reservados © BFS Ingeniería Aplicada S.A. de C.V.  RFC: BIA191106ET2</t>
  </si>
  <si>
    <t>Por lo pronto no se va a colocar</t>
  </si>
  <si>
    <r>
      <t xml:space="preserve">¿Los </t>
    </r>
    <r>
      <rPr>
        <b/>
        <sz val="9"/>
        <rFont val="Segoe UI"/>
        <family val="2"/>
      </rPr>
      <t>logos institucionales</t>
    </r>
    <r>
      <rPr>
        <sz val="9"/>
        <rFont val="Segoe UI"/>
        <family val="2"/>
      </rPr>
      <t xml:space="preserve"> del CV son los aprobados para esta propuesta y con la resolución adecuada?</t>
    </r>
  </si>
  <si>
    <t>Los logos del documento son correctos</t>
  </si>
  <si>
    <r>
      <t xml:space="preserve">¿El </t>
    </r>
    <r>
      <rPr>
        <b/>
        <sz val="9"/>
        <rFont val="Segoe UI"/>
        <family val="2"/>
      </rPr>
      <t>encabezado y pie</t>
    </r>
    <r>
      <rPr>
        <sz val="9"/>
        <rFont val="Segoe UI"/>
        <family val="2"/>
      </rPr>
      <t xml:space="preserve"> de página del CV siguen la plantilla corporativa acordada para SDMA7?</t>
    </r>
  </si>
  <si>
    <t>El encabezado y pie de página son los acordados</t>
  </si>
  <si>
    <t>por lo pronto solo logo en el encabzado y nada de pie de página</t>
  </si>
  <si>
    <r>
      <t xml:space="preserve">¿El CV no contiene </t>
    </r>
    <r>
      <rPr>
        <b/>
        <sz val="9"/>
        <rFont val="Segoe UI"/>
        <family val="2"/>
      </rPr>
      <t>errores ortográficos</t>
    </r>
    <r>
      <rPr>
        <sz val="9"/>
        <rFont val="Segoe UI"/>
        <family val="2"/>
      </rPr>
      <t xml:space="preserve"> ni de puntuación y pasó una revisión de estilo?</t>
    </r>
  </si>
  <si>
    <t>La ortografía es impecable
Se ha aplicado el autocorrector</t>
  </si>
  <si>
    <r>
      <t>¿El CV presenta el título “</t>
    </r>
    <r>
      <rPr>
        <b/>
        <sz val="9"/>
        <rFont val="Segoe UI"/>
        <family val="2"/>
      </rPr>
      <t>Curriculum Vitae</t>
    </r>
    <r>
      <rPr>
        <sz val="9"/>
        <rFont val="Segoe UI"/>
        <family val="2"/>
      </rPr>
      <t>” centrado y con el formato tipográfico indicado?</t>
    </r>
  </si>
  <si>
    <r>
      <t xml:space="preserve">Curriculum Vitae
</t>
    </r>
    <r>
      <rPr>
        <sz val="9"/>
        <rFont val="Segoe UI"/>
        <family val="2"/>
      </rPr>
      <t>Se indica el Titulo Curriculum Vitae en negritas y centrado</t>
    </r>
  </si>
  <si>
    <t>Esta información se encuentra en los insumos proporcionados por el cliente (anexo de staff/recursos Humanos/puntos y porcentaje)
A. 1. Cobertura laboral estándar - Lun–Vie, 08:30–18:00</t>
  </si>
  <si>
    <r>
      <t xml:space="preserve">¿La </t>
    </r>
    <r>
      <rPr>
        <b/>
        <sz val="9"/>
        <rFont val="Segoe UI"/>
        <family val="2"/>
      </rPr>
      <t>redacción</t>
    </r>
    <r>
      <rPr>
        <sz val="9"/>
        <rFont val="Segoe UI"/>
        <family val="2"/>
      </rPr>
      <t xml:space="preserve"> del CV es consistente, sin frases inconclusas ni contradicciones?</t>
    </r>
  </si>
  <si>
    <t>Leer y validar que no hayan oraciones cortadas o incoherentes</t>
  </si>
  <si>
    <r>
      <t xml:space="preserve">¿El CV incluye </t>
    </r>
    <r>
      <rPr>
        <b/>
        <sz val="9"/>
        <color theme="1"/>
        <rFont val="Segoe UI"/>
        <family val="2"/>
      </rPr>
      <t>todas las secciones</t>
    </r>
    <r>
      <rPr>
        <sz val="9"/>
        <color theme="1"/>
        <rFont val="Segoe UI"/>
        <family val="2"/>
      </rPr>
      <t xml:space="preserve"> en el </t>
    </r>
    <r>
      <rPr>
        <b/>
        <sz val="9"/>
        <color theme="1"/>
        <rFont val="Segoe UI"/>
        <family val="2"/>
      </rPr>
      <t>orden</t>
    </r>
    <r>
      <rPr>
        <sz val="9"/>
        <color theme="1"/>
        <rFont val="Segoe UI"/>
        <family val="2"/>
      </rPr>
      <t xml:space="preserve"> acordado (perfil, experiencia, formación, certificaciones, etc.)?</t>
    </r>
  </si>
  <si>
    <t>Cumple con las secciones acordadas y en el orden acordado</t>
  </si>
  <si>
    <r>
      <t xml:space="preserve">¿El CV incluye el espacio de </t>
    </r>
    <r>
      <rPr>
        <b/>
        <sz val="9"/>
        <rFont val="Segoe UI"/>
        <family val="2"/>
      </rPr>
      <t>firma</t>
    </r>
    <r>
      <rPr>
        <sz val="9"/>
        <rFont val="Segoe UI"/>
        <family val="2"/>
      </rPr>
      <t xml:space="preserve"> del </t>
    </r>
    <r>
      <rPr>
        <b/>
        <sz val="9"/>
        <rFont val="Segoe UI"/>
        <family val="2"/>
      </rPr>
      <t>candidato</t>
    </r>
    <r>
      <rPr>
        <sz val="9"/>
        <rFont val="Segoe UI"/>
        <family val="2"/>
      </rPr>
      <t xml:space="preserve"> en la última página?</t>
    </r>
  </si>
  <si>
    <t>Del candidato / recursos humano</t>
  </si>
  <si>
    <t>Sección de firmas al final del CV; aparece firma del candidato.</t>
  </si>
  <si>
    <r>
      <t xml:space="preserve">¿El CV incluye el espacio de </t>
    </r>
    <r>
      <rPr>
        <b/>
        <sz val="9"/>
        <rFont val="Segoe UI"/>
        <family val="2"/>
      </rPr>
      <t>firma</t>
    </r>
    <r>
      <rPr>
        <sz val="9"/>
        <rFont val="Segoe UI"/>
        <family val="2"/>
      </rPr>
      <t xml:space="preserve"> del </t>
    </r>
    <r>
      <rPr>
        <b/>
        <sz val="9"/>
        <rFont val="Segoe UI"/>
        <family val="2"/>
      </rPr>
      <t>representante legal</t>
    </r>
    <r>
      <rPr>
        <sz val="9"/>
        <rFont val="Segoe UI"/>
        <family val="2"/>
      </rPr>
      <t xml:space="preserve"> en la última página?</t>
    </r>
  </si>
  <si>
    <t>Del  representante Legal</t>
  </si>
  <si>
    <t>Sección de firmas al final del CV; aparece “Representante legal”.</t>
  </si>
  <si>
    <t>Datos Personales</t>
  </si>
  <si>
    <t>Coincidencias en CV para: cinco años, al menos cinco años</t>
  </si>
  <si>
    <r>
      <t xml:space="preserve">¿El </t>
    </r>
    <r>
      <rPr>
        <b/>
        <sz val="9"/>
        <rFont val="Segoe UI"/>
        <family val="2"/>
      </rPr>
      <t>nombre completo</t>
    </r>
    <r>
      <rPr>
        <sz val="9"/>
        <rFont val="Segoe UI"/>
        <family val="2"/>
      </rPr>
      <t xml:space="preserve"> del candidato en el CV coincide </t>
    </r>
    <r>
      <rPr>
        <b/>
        <sz val="9"/>
        <rFont val="Segoe UI"/>
        <family val="2"/>
      </rPr>
      <t>literalmente</t>
    </r>
    <r>
      <rPr>
        <sz val="9"/>
        <rFont val="Segoe UI"/>
        <family val="2"/>
      </rPr>
      <t xml:space="preserve"> con el Control de Producción?</t>
    </r>
  </si>
  <si>
    <t>Mantener coincidencia literal entre CV y documentos oficiales.
El nombre completo  es el indicado en la matriz de candidatos</t>
  </si>
  <si>
    <r>
      <t xml:space="preserve">¿El </t>
    </r>
    <r>
      <rPr>
        <b/>
        <sz val="9"/>
        <color theme="1"/>
        <rFont val="Segoe UI"/>
        <family val="2"/>
      </rPr>
      <t>correo electrónico</t>
    </r>
    <r>
      <rPr>
        <sz val="9"/>
        <color theme="1"/>
        <rFont val="Segoe UI"/>
        <family val="2"/>
      </rPr>
      <t xml:space="preserve"> consignado en el CV es </t>
    </r>
    <r>
      <rPr>
        <b/>
        <sz val="9"/>
        <color theme="1"/>
        <rFont val="Segoe UI"/>
        <family val="2"/>
      </rPr>
      <t>corporativo</t>
    </r>
    <r>
      <rPr>
        <sz val="9"/>
        <color theme="1"/>
        <rFont val="Segoe UI"/>
        <family val="2"/>
      </rPr>
      <t xml:space="preserve"> y válido?</t>
    </r>
  </si>
  <si>
    <t>Se colocará justo antes de hacer la entrega. Debe ser el corporativo</t>
  </si>
  <si>
    <t>No se coloca esta sección por el momento</t>
  </si>
  <si>
    <r>
      <t xml:space="preserve">¿El campo </t>
    </r>
    <r>
      <rPr>
        <b/>
        <sz val="9"/>
        <color theme="1"/>
        <rFont val="Segoe UI"/>
        <family val="2"/>
      </rPr>
      <t>Género</t>
    </r>
    <r>
      <rPr>
        <sz val="9"/>
        <color theme="1"/>
        <rFont val="Segoe UI"/>
        <family val="2"/>
      </rPr>
      <t xml:space="preserve"> está correctamente consignado si es requerido por la plantilla?</t>
    </r>
  </si>
  <si>
    <t>Femenino / Masculino</t>
  </si>
  <si>
    <r>
      <t xml:space="preserve">¿La </t>
    </r>
    <r>
      <rPr>
        <b/>
        <sz val="9"/>
        <color theme="1"/>
        <rFont val="Segoe UI"/>
        <family val="2"/>
      </rPr>
      <t>fecha de nacimiento</t>
    </r>
    <r>
      <rPr>
        <sz val="9"/>
        <color theme="1"/>
        <rFont val="Segoe UI"/>
        <family val="2"/>
      </rPr>
      <t xml:space="preserve"> está completa y en formato día/mes/año?</t>
    </r>
  </si>
  <si>
    <t>Formato día/mes/año (si aplica)</t>
  </si>
  <si>
    <r>
      <t xml:space="preserve">¿El </t>
    </r>
    <r>
      <rPr>
        <b/>
        <sz val="9"/>
        <color theme="1"/>
        <rFont val="Segoe UI"/>
        <family val="2"/>
      </rPr>
      <t>RFC</t>
    </r>
    <r>
      <rPr>
        <sz val="9"/>
        <color theme="1"/>
        <rFont val="Segoe UI"/>
        <family val="2"/>
      </rPr>
      <t xml:space="preserve"> del candidato es correcto y coincide con sus documentos oficiales?</t>
    </r>
  </si>
  <si>
    <t>Esto aplica si nos piden la identificación oficial</t>
  </si>
  <si>
    <r>
      <t xml:space="preserve">¿La </t>
    </r>
    <r>
      <rPr>
        <b/>
        <sz val="9"/>
        <color theme="1"/>
        <rFont val="Segoe UI"/>
        <family val="2"/>
      </rPr>
      <t>CURP</t>
    </r>
    <r>
      <rPr>
        <sz val="9"/>
        <color theme="1"/>
        <rFont val="Segoe UI"/>
        <family val="2"/>
      </rPr>
      <t xml:space="preserve"> del candidato es correcta y coincide con sus documentos oficiales?</t>
    </r>
  </si>
  <si>
    <t>i.a. Capacidad de los Recursos Humanos</t>
  </si>
  <si>
    <t>Cobertura general por experiencia descrita (ver secciones de actividades principales).</t>
  </si>
  <si>
    <t>Subsección</t>
  </si>
  <si>
    <t>i.a.1) Experiencia</t>
  </si>
  <si>
    <t>Esta clara en el CV</t>
  </si>
  <si>
    <r>
      <t xml:space="preserve">¿La cronología de </t>
    </r>
    <r>
      <rPr>
        <b/>
        <sz val="9"/>
        <color theme="1"/>
        <rFont val="Segoe UI"/>
        <family val="2"/>
      </rPr>
      <t>periodos laborales</t>
    </r>
    <r>
      <rPr>
        <sz val="9"/>
        <color theme="1"/>
        <rFont val="Segoe UI"/>
        <family val="2"/>
      </rPr>
      <t xml:space="preserve"> suma </t>
    </r>
    <r>
      <rPr>
        <b/>
        <sz val="9"/>
        <color theme="1"/>
        <rFont val="Segoe UI"/>
        <family val="2"/>
      </rPr>
      <t>al menos</t>
    </r>
    <r>
      <rPr>
        <sz val="9"/>
        <color theme="1"/>
        <rFont val="Segoe UI"/>
        <family val="2"/>
      </rPr>
      <t xml:space="preserve"> los </t>
    </r>
    <r>
      <rPr>
        <b/>
        <sz val="9"/>
        <color theme="1"/>
        <rFont val="Segoe UI"/>
        <family val="2"/>
      </rPr>
      <t>5 años</t>
    </r>
    <r>
      <rPr>
        <sz val="9"/>
        <color theme="1"/>
        <rFont val="Segoe UI"/>
        <family val="2"/>
      </rPr>
      <t xml:space="preserve"> requeridos?</t>
    </r>
  </si>
  <si>
    <t>Los periodos de trabajo descritos en el CV suman la experiencia solicitada</t>
  </si>
  <si>
    <r>
      <t xml:space="preserve">¿Las </t>
    </r>
    <r>
      <rPr>
        <b/>
        <sz val="9"/>
        <color theme="1"/>
        <rFont val="Segoe UI"/>
        <family val="2"/>
      </rPr>
      <t>fechas</t>
    </r>
    <r>
      <rPr>
        <sz val="9"/>
        <color theme="1"/>
        <rFont val="Segoe UI"/>
        <family val="2"/>
      </rPr>
      <t xml:space="preserve"> desde/hasta son </t>
    </r>
    <r>
      <rPr>
        <b/>
        <sz val="9"/>
        <color theme="1"/>
        <rFont val="Segoe UI"/>
        <family val="2"/>
      </rPr>
      <t>congruentes</t>
    </r>
    <r>
      <rPr>
        <sz val="9"/>
        <color theme="1"/>
        <rFont val="Segoe UI"/>
        <family val="2"/>
      </rPr>
      <t xml:space="preserve"> (sin traslapes y con formato uniforme)?</t>
    </r>
  </si>
  <si>
    <t>Fechas correctas en el periodo de experiencia:
La fecha "Desde", debe ser un mes posterior a la última fecha "Hasta", los meses deben ir escritos sin abreviación e iniciando con mayúscula</t>
  </si>
  <si>
    <r>
      <t xml:space="preserve">¿El CV está </t>
    </r>
    <r>
      <rPr>
        <b/>
        <sz val="9"/>
        <color theme="1"/>
        <rFont val="Segoe UI"/>
        <family val="2"/>
      </rPr>
      <t>firmado</t>
    </r>
    <r>
      <rPr>
        <sz val="9"/>
        <color theme="1"/>
        <rFont val="Segoe UI"/>
        <family val="2"/>
      </rPr>
      <t xml:space="preserve"> por el </t>
    </r>
    <r>
      <rPr>
        <b/>
        <sz val="9"/>
        <color theme="1"/>
        <rFont val="Segoe UI"/>
        <family val="2"/>
      </rPr>
      <t>candidato</t>
    </r>
    <r>
      <rPr>
        <sz val="9"/>
        <color theme="1"/>
        <rFont val="Segoe UI"/>
        <family val="2"/>
      </rPr>
      <t>?</t>
    </r>
  </si>
  <si>
    <t xml:space="preserve">firmado por el recurso humano </t>
  </si>
  <si>
    <r>
      <t xml:space="preserve">¿El CV está </t>
    </r>
    <r>
      <rPr>
        <b/>
        <sz val="9"/>
        <color theme="1"/>
        <rFont val="Segoe UI"/>
        <family val="2"/>
      </rPr>
      <t>firmado</t>
    </r>
    <r>
      <rPr>
        <sz val="9"/>
        <color theme="1"/>
        <rFont val="Segoe UI"/>
        <family val="2"/>
      </rPr>
      <t xml:space="preserve"> por el </t>
    </r>
    <r>
      <rPr>
        <b/>
        <sz val="9"/>
        <color theme="1"/>
        <rFont val="Segoe UI"/>
        <family val="2"/>
      </rPr>
      <t>representante/apoderado legal</t>
    </r>
    <r>
      <rPr>
        <sz val="9"/>
        <color theme="1"/>
        <rFont val="Segoe UI"/>
        <family val="2"/>
      </rPr>
      <t xml:space="preserve"> del licitante?</t>
    </r>
  </si>
  <si>
    <t>y firmado por el representante o apoderado legal del Licitante para participar en el presente procedimiento de contratación</t>
  </si>
  <si>
    <r>
      <t xml:space="preserve">¿El CV está redactado en </t>
    </r>
    <r>
      <rPr>
        <b/>
        <sz val="9"/>
        <color theme="1"/>
        <rFont val="Segoe UI"/>
        <family val="2"/>
      </rPr>
      <t>primera persona</t>
    </r>
    <r>
      <rPr>
        <sz val="9"/>
        <color theme="1"/>
        <rFont val="Segoe UI"/>
        <family val="2"/>
      </rPr>
      <t xml:space="preserve"> (cuando así lo establece la guía)?</t>
    </r>
  </si>
  <si>
    <t>El CV debe ser redactado como si el candidato/recurso humano lo estuviera presentando</t>
  </si>
  <si>
    <r>
      <t xml:space="preserve">¿El CV presenta </t>
    </r>
    <r>
      <rPr>
        <b/>
        <sz val="9"/>
        <color theme="1"/>
        <rFont val="Segoe UI"/>
        <family val="2"/>
      </rPr>
      <t>numeralia</t>
    </r>
    <r>
      <rPr>
        <sz val="9"/>
        <color theme="1"/>
        <rFont val="Segoe UI"/>
        <family val="2"/>
      </rPr>
      <t xml:space="preserve"> (años, FTEs, presupuesto, metodología, resultados medibles) para contextualizar el alcance gestionado?</t>
    </r>
  </si>
  <si>
    <t>años, alcance, equipo gestionado, metodología y resultados medibles.</t>
  </si>
  <si>
    <t>i.a.2) Competencia o habilidad en el trabajo</t>
  </si>
  <si>
    <r>
      <t xml:space="preserve">¿El candidato cuenta con </t>
    </r>
    <r>
      <rPr>
        <b/>
        <sz val="9"/>
        <color theme="1"/>
        <rFont val="Segoe UI"/>
        <family val="2"/>
      </rPr>
      <t>estudios de nivel superior</t>
    </r>
    <r>
      <rPr>
        <sz val="9"/>
        <color theme="1"/>
        <rFont val="Segoe UI"/>
        <family val="2"/>
      </rPr>
      <t xml:space="preserve"> en </t>
    </r>
    <r>
      <rPr>
        <b/>
        <sz val="9"/>
        <color theme="1"/>
        <rFont val="Segoe UI"/>
        <family val="2"/>
      </rPr>
      <t>alguna de las áreas válidas</t>
    </r>
    <r>
      <rPr>
        <sz val="9"/>
        <color theme="1"/>
        <rFont val="Segoe UI"/>
        <family val="2"/>
      </rPr>
      <t xml:space="preserve"> señaladas para el rol?</t>
    </r>
  </si>
  <si>
    <r>
      <t xml:space="preserve">¿La </t>
    </r>
    <r>
      <rPr>
        <b/>
        <sz val="9"/>
        <color theme="1"/>
        <rFont val="Segoe UI"/>
        <family val="2"/>
      </rPr>
      <t>carrera</t>
    </r>
    <r>
      <rPr>
        <sz val="9"/>
        <color theme="1"/>
        <rFont val="Segoe UI"/>
        <family val="2"/>
      </rPr>
      <t xml:space="preserve"> del candidato pertenece al </t>
    </r>
    <r>
      <rPr>
        <b/>
        <sz val="9"/>
        <color theme="1"/>
        <rFont val="Segoe UI"/>
        <family val="2"/>
      </rPr>
      <t>listado de áreas</t>
    </r>
    <r>
      <rPr>
        <sz val="9"/>
        <color theme="1"/>
        <rFont val="Segoe UI"/>
        <family val="2"/>
      </rPr>
      <t xml:space="preserve"> permitidas para el rol?</t>
    </r>
  </si>
  <si>
    <r>
      <t xml:space="preserve">¿La </t>
    </r>
    <r>
      <rPr>
        <b/>
        <sz val="9"/>
        <color theme="1"/>
        <rFont val="Segoe UI"/>
        <family val="2"/>
      </rPr>
      <t>licenciatura/maestría</t>
    </r>
    <r>
      <rPr>
        <sz val="9"/>
        <color theme="1"/>
        <rFont val="Segoe UI"/>
        <family val="2"/>
      </rPr>
      <t xml:space="preserve"> del candidato está consignada </t>
    </r>
    <r>
      <rPr>
        <b/>
        <sz val="9"/>
        <color theme="1"/>
        <rFont val="Segoe UI"/>
        <family val="2"/>
      </rPr>
      <t>con nombre oficial</t>
    </r>
    <r>
      <rPr>
        <sz val="9"/>
        <color theme="1"/>
        <rFont val="Segoe UI"/>
        <family val="2"/>
      </rPr>
      <t xml:space="preserve"> de la institución?</t>
    </r>
  </si>
  <si>
    <t>Se indica la licenciatura y/o maestria que estudio el candidato
Título profesional / Maestria</t>
  </si>
  <si>
    <t>No aparece esa información</t>
  </si>
  <si>
    <r>
      <t xml:space="preserve">¿El </t>
    </r>
    <r>
      <rPr>
        <b/>
        <sz val="9"/>
        <color theme="1"/>
        <rFont val="Segoe UI"/>
        <family val="2"/>
      </rPr>
      <t>número de cédula</t>
    </r>
    <r>
      <rPr>
        <sz val="9"/>
        <color theme="1"/>
        <rFont val="Segoe UI"/>
        <family val="2"/>
      </rPr>
      <t xml:space="preserve"> profesional en el CV </t>
    </r>
    <r>
      <rPr>
        <b/>
        <sz val="9"/>
        <color theme="1"/>
        <rFont val="Segoe UI"/>
        <family val="2"/>
      </rPr>
      <t>coincide</t>
    </r>
    <r>
      <rPr>
        <sz val="9"/>
        <color theme="1"/>
        <rFont val="Segoe UI"/>
        <family val="2"/>
      </rPr>
      <t xml:space="preserve"> con la cédula escaneada?</t>
    </r>
  </si>
  <si>
    <t>Cédula profesional en texto
Colocar el número que aparece en la cédula, asegurarse que es idéntico</t>
  </si>
  <si>
    <t>Preferentemente a color</t>
  </si>
  <si>
    <r>
      <t xml:space="preserve">¿Si estudió en el extranjero, se adjunta </t>
    </r>
    <r>
      <rPr>
        <b/>
        <sz val="9"/>
        <color theme="1"/>
        <rFont val="Segoe UI"/>
        <family val="2"/>
      </rPr>
      <t>revalidación</t>
    </r>
    <r>
      <rPr>
        <sz val="9"/>
        <color theme="1"/>
        <rFont val="Segoe UI"/>
        <family val="2"/>
      </rPr>
      <t>/equivalencia de estudios en México?</t>
    </r>
  </si>
  <si>
    <t xml:space="preserve">Para los recursos humanos con estudios en el extranjero deberá presentar la documentación de evidencia que acredite el equivalente de estudios nivel superior en México. </t>
  </si>
  <si>
    <t>CDMX</t>
  </si>
  <si>
    <r>
      <t xml:space="preserve">¿La documentación extranjera cuenta con </t>
    </r>
    <r>
      <rPr>
        <b/>
        <sz val="9"/>
        <color theme="1"/>
        <rFont val="Segoe UI"/>
        <family val="2"/>
      </rPr>
      <t>apostilla</t>
    </r>
    <r>
      <rPr>
        <sz val="9"/>
        <color theme="1"/>
        <rFont val="Segoe UI"/>
        <family val="2"/>
      </rPr>
      <t xml:space="preserve"> válida (si aplica)?</t>
    </r>
  </si>
  <si>
    <t>Para los recursos humanos con estudios en el extranjero deberá encontrarse debidamente apostillada.</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</si>
  <si>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</si>
  <si>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</si>
  <si>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</si>
  <si>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</si>
  <si>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</si>
  <si>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Pendiente</t>
  </si>
  <si>
    <r>
      <t xml:space="preserve">Acreditar el dominio de herramientas señaladas - </t>
    </r>
    <r>
      <rPr>
        <b/>
        <sz val="9"/>
        <color theme="1"/>
        <rFont val="Segoe UI"/>
        <family val="2"/>
      </rPr>
      <t>Certificaciones</t>
    </r>
  </si>
  <si>
    <t>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</si>
  <si>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</si>
  <si>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Se hizo la consulta en la entidad oficial</t>
  </si>
  <si>
    <t>A partir de que inicie son 24 meses = 731 días naturales</t>
  </si>
  <si>
    <t>Cursos</t>
  </si>
  <si>
    <t xml:space="preserve">Evidencias escaneadas digitalizadas. 
Coincidencia en nombre entre CV y documentos
SAT podra cotejar validez con las instituciones que imparten los cursos </t>
  </si>
  <si>
    <t>En caso de que no, incluir la traducción simple</t>
  </si>
  <si>
    <t>Incluir en caso de que sumen puntos el nombre de otro curso relacionado con el rol</t>
  </si>
  <si>
    <t>Domino de herramientas</t>
  </si>
  <si>
    <r>
      <t xml:space="preserve">¿El CV incluye </t>
    </r>
    <r>
      <rPr>
        <b/>
        <sz val="9"/>
        <color theme="1"/>
        <rFont val="Segoe UI"/>
        <family val="2"/>
      </rPr>
      <t>casos concretos</t>
    </r>
    <r>
      <rPr>
        <sz val="9"/>
        <color theme="1"/>
        <rFont val="Segoe UI"/>
        <family val="2"/>
      </rPr>
      <t xml:space="preserve"> donde aplicó </t>
    </r>
    <r>
      <rPr>
        <b/>
        <sz val="9"/>
        <color theme="1"/>
        <rFont val="Segoe UI"/>
        <family val="2"/>
      </rPr>
      <t>conocimientos de sus certificaciones</t>
    </r>
    <r>
      <rPr>
        <sz val="9"/>
        <color theme="1"/>
        <rFont val="Segoe UI"/>
        <family val="2"/>
      </rPr>
      <t xml:space="preserve"> (qué, cómo, resultado)?</t>
    </r>
  </si>
  <si>
    <r>
      <t xml:space="preserve">¿El CV incluye </t>
    </r>
    <r>
      <rPr>
        <b/>
        <sz val="9"/>
        <color theme="1"/>
        <rFont val="Segoe UI"/>
        <family val="2"/>
      </rPr>
      <t>casos concretos</t>
    </r>
    <r>
      <rPr>
        <sz val="9"/>
        <color theme="1"/>
        <rFont val="Segoe UI"/>
        <family val="2"/>
      </rPr>
      <t xml:space="preserve"> donde aplicó </t>
    </r>
    <r>
      <rPr>
        <b/>
        <sz val="9"/>
        <color theme="1"/>
        <rFont val="Segoe UI"/>
        <family val="2"/>
      </rPr>
      <t>conocimientos de cursos</t>
    </r>
    <r>
      <rPr>
        <sz val="9"/>
        <color theme="1"/>
        <rFont val="Segoe UI"/>
        <family val="2"/>
      </rPr>
      <t xml:space="preserve"> (qué, cómo, resultado)?</t>
    </r>
  </si>
  <si>
    <t>Consideraciones</t>
  </si>
  <si>
    <r>
      <t xml:space="preserve">¿Se adjunta </t>
    </r>
    <r>
      <rPr>
        <b/>
        <sz val="9"/>
        <color theme="1"/>
        <rFont val="Segoe UI"/>
        <family val="2"/>
      </rPr>
      <t>identificación oficial</t>
    </r>
    <r>
      <rPr>
        <sz val="9"/>
        <color theme="1"/>
        <rFont val="Segoe UI"/>
        <family val="2"/>
      </rPr>
      <t xml:space="preserve"> vigente, </t>
    </r>
    <r>
      <rPr>
        <b/>
        <sz val="9"/>
        <color theme="1"/>
        <rFont val="Segoe UI"/>
        <family val="2"/>
      </rPr>
      <t>escaneada</t>
    </r>
    <r>
      <rPr>
        <sz val="9"/>
        <color theme="1"/>
        <rFont val="Segoe UI"/>
        <family val="2"/>
      </rPr>
      <t xml:space="preserve"> y </t>
    </r>
    <r>
      <rPr>
        <b/>
        <sz val="9"/>
        <color theme="1"/>
        <rFont val="Segoe UI"/>
        <family val="2"/>
      </rPr>
      <t>legible</t>
    </r>
    <r>
      <rPr>
        <sz val="9"/>
        <color theme="1"/>
        <rFont val="Segoe UI"/>
        <family val="2"/>
      </rPr>
      <t>?</t>
    </r>
  </si>
  <si>
    <t>Escaneada preferentemente a color y claramente legible
“Coincidencia literal de nombre entre identificación, CV y certificaciones”</t>
  </si>
  <si>
    <t>Hasta que no se nos solicite explicitamente en la licitación</t>
  </si>
  <si>
    <r>
      <t xml:space="preserve">¿La </t>
    </r>
    <r>
      <rPr>
        <b/>
        <sz val="9"/>
        <color theme="1"/>
        <rFont val="Segoe UI"/>
        <family val="2"/>
      </rPr>
      <t>versión escaneada</t>
    </r>
    <r>
      <rPr>
        <sz val="9"/>
        <color theme="1"/>
        <rFont val="Segoe UI"/>
        <family val="2"/>
      </rPr>
      <t xml:space="preserve"> de la identificación cumple con </t>
    </r>
    <r>
      <rPr>
        <b/>
        <sz val="9"/>
        <color theme="1"/>
        <rFont val="Segoe UI"/>
        <family val="2"/>
      </rPr>
      <t>calidad y legibilidad</t>
    </r>
    <r>
      <rPr>
        <sz val="9"/>
        <color theme="1"/>
        <rFont val="Segoe UI"/>
        <family val="2"/>
      </rPr>
      <t xml:space="preserve"> requeridas?</t>
    </r>
  </si>
  <si>
    <t>Escaneada preferentemente a color y claramente legible</t>
  </si>
  <si>
    <r>
      <t xml:space="preserve">¿Todos los </t>
    </r>
    <r>
      <rPr>
        <b/>
        <sz val="9"/>
        <color theme="1"/>
        <rFont val="Segoe UI"/>
        <family val="2"/>
      </rPr>
      <t>documentos en otro idioma</t>
    </r>
    <r>
      <rPr>
        <sz val="9"/>
        <color theme="1"/>
        <rFont val="Segoe UI"/>
        <family val="2"/>
      </rPr>
      <t xml:space="preserve"> cuentan con </t>
    </r>
    <r>
      <rPr>
        <b/>
        <sz val="9"/>
        <color theme="1"/>
        <rFont val="Segoe UI"/>
        <family val="2"/>
      </rPr>
      <t>traducción simple</t>
    </r>
    <r>
      <rPr>
        <sz val="9"/>
        <color theme="1"/>
        <rFont val="Segoe UI"/>
        <family val="2"/>
      </rPr>
      <t xml:space="preserve"> al español (salvo tecnicismos)?</t>
    </r>
  </si>
  <si>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</si>
  <si>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</si>
  <si>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</si>
  <si>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</si>
  <si>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</si>
  <si>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</si>
  <si>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r>
      <t xml:space="preserve">¿El </t>
    </r>
    <r>
      <rPr>
        <b/>
        <sz val="9"/>
        <color theme="1"/>
        <rFont val="Segoe UI"/>
        <family val="2"/>
      </rPr>
      <t>rol</t>
    </r>
    <r>
      <rPr>
        <sz val="9"/>
        <color theme="1"/>
        <rFont val="Segoe UI"/>
        <family val="2"/>
      </rPr>
      <t xml:space="preserve"> del CV es exactamente </t>
    </r>
    <r>
      <rPr>
        <b/>
        <sz val="9"/>
        <color theme="1"/>
        <rFont val="Segoe UI"/>
        <family val="2"/>
      </rPr>
      <t>“Líder Técnico”</t>
    </r>
    <r>
      <rPr>
        <sz val="9"/>
        <color theme="1"/>
        <rFont val="Segoe UI"/>
        <family val="2"/>
      </rPr>
      <t xml:space="preserve"> y el </t>
    </r>
    <r>
      <rPr>
        <b/>
        <sz val="9"/>
        <color theme="1"/>
        <rFont val="Segoe UI"/>
        <family val="2"/>
      </rPr>
      <t>identificador</t>
    </r>
    <r>
      <rPr>
        <sz val="9"/>
        <color theme="1"/>
        <rFont val="Segoe UI"/>
        <family val="2"/>
      </rPr>
      <t xml:space="preserve"> coincide con el solicitado por el cliente?</t>
    </r>
  </si>
  <si>
    <r>
      <t xml:space="preserve">¿La primera sección de experiencia declara </t>
    </r>
    <r>
      <rPr>
        <b/>
        <sz val="9"/>
        <color theme="1"/>
        <rFont val="Segoe UI"/>
        <family val="2"/>
      </rPr>
      <t xml:space="preserve">explícitamente: Al menos 5 años </t>
    </r>
    <r>
      <rPr>
        <sz val="9"/>
        <color theme="1"/>
        <rFont val="Segoe UI"/>
        <family val="2"/>
      </rPr>
      <t>de experiencia comprobada en desarrollo de software y liderazgo técnico, así como atención y resolución de problemas. Dominio en las tecnologías de la Arquitectura de Referencia (AR) y/o tecnologías open source ?</t>
    </r>
  </si>
  <si>
    <r>
      <t>Para el rol del</t>
    </r>
    <r>
      <rPr>
        <b/>
        <sz val="9"/>
        <rFont val="Segoe UI"/>
        <family val="2"/>
      </rPr>
      <t xml:space="preserve"> Líder Técnico</t>
    </r>
    <r>
      <rPr>
        <sz val="9"/>
        <rFont val="Segoe UI"/>
        <family val="2"/>
      </rPr>
      <t xml:space="preserve">
Al menos 5 años de experiencia en desarrollo de software y liderazgo técnico, así como atención y resolución de problemas.
Dominio en las tecnologías de la Arquitectura de Referencia (AR) 
y/o tecnologías open source</t>
    </r>
  </si>
  <si>
    <r>
      <t xml:space="preserve">¿El CV </t>
    </r>
    <r>
      <rPr>
        <b/>
        <sz val="9"/>
        <color theme="1"/>
        <rFont val="Segoe UI"/>
        <family val="2"/>
      </rPr>
      <t>acredita que almenos tiene 3 años</t>
    </r>
    <r>
      <rPr>
        <sz val="9"/>
        <color theme="1"/>
        <rFont val="Segoe UI"/>
        <family val="2"/>
      </rPr>
      <t xml:space="preserve"> de experiencia comprobada en desarrollo en metodologías ágiles?</t>
    </r>
  </si>
  <si>
    <t>Adicional:
Al menos 3 años de experiencia en desarrollo en metodologías ágiles</t>
  </si>
  <si>
    <r>
      <t xml:space="preserve">¿El CV </t>
    </r>
    <r>
      <rPr>
        <b/>
        <sz val="9"/>
        <color theme="1"/>
        <rFont val="Segoe UI"/>
        <family val="2"/>
      </rPr>
      <t>acredita funciones</t>
    </r>
    <r>
      <rPr>
        <sz val="9"/>
        <color theme="1"/>
        <rFont val="Segoe UI"/>
        <family val="2"/>
      </rPr>
      <t xml:space="preserve"> de dirección y coordinación a equipos de trabajo implementando y optimizando tecnologías para alcanzar objetivos estratégicos de desarrollo, asegurando la calidad del software, la correcta implementación de las soluciones y el uso adecuado de herramientas y buenas prácticas?</t>
    </r>
  </si>
  <si>
    <t>Dirigir y coordinar a equipos de trabajo implementando y optimizando tecnologías para alcanzar objetivos estratégicos de desarrollo, asegurando la calidad del software, la correcta implementación de las soluciones y el uso adecuado de herramientas y buenas prácticas. 
Actuar como puente entre el equipo técnico y otras áreas del proyecto o de la institución.
Garantizar la integración de los componentes técnicos y alinearlos a la arquitectura y seguridad del SAT.
Habilidades en: 
Gestión de Proyectos
Liderazgo</t>
  </si>
  <si>
    <r>
      <t xml:space="preserve">¿Ha liderado </t>
    </r>
    <r>
      <rPr>
        <b/>
        <sz val="9"/>
        <color theme="1"/>
        <rFont val="Segoe UI"/>
        <family val="2"/>
      </rPr>
      <t>diseño técnico</t>
    </r>
    <r>
      <rPr>
        <sz val="9"/>
        <color theme="1"/>
        <rFont val="Segoe UI"/>
        <family val="2"/>
      </rPr>
      <t xml:space="preserve"> (EDA, FCU/FCUN, MSF) y obtenido VoBo de arquitectura/áreas técnicas?</t>
    </r>
  </si>
  <si>
    <t>Artefactos + VoBo arquitectura</t>
  </si>
  <si>
    <r>
      <t xml:space="preserve">¿Ha definido y controlado </t>
    </r>
    <r>
      <rPr>
        <b/>
        <sz val="9"/>
        <color theme="1"/>
        <rFont val="Segoe UI"/>
        <family val="2"/>
      </rPr>
      <t>prácticas de codificación y ramas</t>
    </r>
    <r>
      <rPr>
        <sz val="9"/>
        <color theme="1"/>
        <rFont val="Segoe UI"/>
        <family val="2"/>
      </rPr>
      <t xml:space="preserve"> en </t>
    </r>
    <r>
      <rPr>
        <b/>
        <sz val="9"/>
        <color theme="1"/>
        <rFont val="Segoe UI"/>
        <family val="2"/>
      </rPr>
      <t>GitLab</t>
    </r>
    <r>
      <rPr>
        <sz val="9"/>
        <color theme="1"/>
        <rFont val="Segoe UI"/>
        <family val="2"/>
      </rPr>
      <t xml:space="preserve"> (MR, code review, políticas)?</t>
    </r>
  </si>
  <si>
    <t>Políticas ramas/MR + ejemplos</t>
  </si>
  <si>
    <r>
      <t xml:space="preserve">¿Ha asegurado </t>
    </r>
    <r>
      <rPr>
        <b/>
        <sz val="9"/>
        <color theme="1"/>
        <rFont val="Segoe UI"/>
        <family val="2"/>
      </rPr>
      <t>calidad de código</t>
    </r>
    <r>
      <rPr>
        <sz val="9"/>
        <color theme="1"/>
        <rFont val="Segoe UI"/>
        <family val="2"/>
      </rPr>
      <t xml:space="preserve"> con </t>
    </r>
    <r>
      <rPr>
        <b/>
        <sz val="9"/>
        <color theme="1"/>
        <rFont val="Segoe UI"/>
        <family val="2"/>
      </rPr>
      <t>SAST</t>
    </r>
    <r>
      <rPr>
        <sz val="9"/>
        <color theme="1"/>
        <rFont val="Segoe UI"/>
        <family val="2"/>
      </rPr>
      <t xml:space="preserve"> (SonarQube) y coordinado remediaciones hasta “cero bloqueantes/críticos/altos”?</t>
    </r>
  </si>
  <si>
    <t>Reportes SAST + evidencias fixes</t>
  </si>
  <si>
    <r>
      <t xml:space="preserve">¿Ha coordinado </t>
    </r>
    <r>
      <rPr>
        <b/>
        <sz val="9"/>
        <color theme="1"/>
        <rFont val="Segoe UI"/>
        <family val="2"/>
      </rPr>
      <t>pruebas funcionales/integración</t>
    </r>
    <r>
      <rPr>
        <sz val="9"/>
        <color theme="1"/>
        <rFont val="Segoe UI"/>
        <family val="2"/>
      </rPr>
      <t xml:space="preserve"> y de </t>
    </r>
    <r>
      <rPr>
        <b/>
        <sz val="9"/>
        <color theme="1"/>
        <rFont val="Segoe UI"/>
        <family val="2"/>
      </rPr>
      <t>desempeño</t>
    </r>
    <r>
      <rPr>
        <sz val="9"/>
        <color theme="1"/>
        <rFont val="Segoe UI"/>
        <family val="2"/>
      </rPr>
      <t xml:space="preserve"> con reportes y criterios de aceptación?</t>
    </r>
  </si>
  <si>
    <t>Plan + Matriz + reportes</t>
  </si>
  <si>
    <r>
      <t xml:space="preserve">¿Ha construido y entregado </t>
    </r>
    <r>
      <rPr>
        <b/>
        <sz val="9"/>
        <color theme="1"/>
        <rFont val="Segoe UI"/>
        <family val="2"/>
      </rPr>
      <t>paquetes a AVL</t>
    </r>
    <r>
      <rPr>
        <sz val="9"/>
        <color theme="1"/>
        <rFont val="Segoe UI"/>
        <family val="2"/>
      </rPr>
      <t xml:space="preserve"> (artefactos en </t>
    </r>
    <r>
      <rPr>
        <b/>
        <sz val="9"/>
        <color theme="1"/>
        <rFont val="Segoe UI"/>
        <family val="2"/>
      </rPr>
      <t>Nexus/Archiva</t>
    </r>
    <r>
      <rPr>
        <sz val="9"/>
        <color theme="1"/>
        <rFont val="Segoe UI"/>
        <family val="2"/>
      </rPr>
      <t>, bitácoras, checklist de liberación)?</t>
    </r>
  </si>
  <si>
    <t>Acuses AVL + registros Nexus</t>
  </si>
  <si>
    <r>
      <t xml:space="preserve">¿Ha gestionado </t>
    </r>
    <r>
      <rPr>
        <b/>
        <sz val="9"/>
        <color theme="1"/>
        <rFont val="Segoe UI"/>
        <family val="2"/>
      </rPr>
      <t>ambientes</t>
    </r>
    <r>
      <rPr>
        <sz val="9"/>
        <color theme="1"/>
        <rFont val="Segoe UI"/>
        <family val="2"/>
      </rPr>
      <t xml:space="preserve"> (INT/UAT/PROD) con Torre SAT/SSO/RAPE/AAT, incluyendo </t>
    </r>
    <r>
      <rPr>
        <b/>
        <sz val="9"/>
        <color theme="1"/>
        <rFont val="Segoe UI"/>
        <family val="2"/>
      </rPr>
      <t>troubleshooting</t>
    </r>
    <r>
      <rPr>
        <sz val="9"/>
        <color theme="1"/>
        <rFont val="Segoe UI"/>
        <family val="2"/>
      </rPr>
      <t>?</t>
    </r>
  </si>
  <si>
    <t>Actas/VoBo + minutas</t>
  </si>
  <si>
    <r>
      <t xml:space="preserve">¿Ha capacitado al equipo que dará soporte al software que se libera (ej.  </t>
    </r>
    <r>
      <rPr>
        <b/>
        <sz val="9"/>
        <color theme="1"/>
        <rFont val="Segoe UI"/>
        <family val="2"/>
      </rPr>
      <t>Mesa SAT)</t>
    </r>
    <r>
      <rPr>
        <sz val="9"/>
        <color theme="1"/>
        <rFont val="Segoe UI"/>
        <family val="2"/>
      </rPr>
      <t xml:space="preserve"> en aspectos técnicos del servicio previo a la puesta en producción?</t>
    </r>
  </si>
  <si>
    <t>Agenda/listas/material</t>
  </si>
  <si>
    <r>
      <t xml:space="preserve">¿Ha liderado la estimación técnica insumo de </t>
    </r>
    <r>
      <rPr>
        <b/>
        <sz val="9"/>
        <color theme="1"/>
        <rFont val="Segoe UI"/>
        <family val="2"/>
      </rPr>
      <t>EUHE/PT</t>
    </r>
    <r>
      <rPr>
        <sz val="9"/>
        <color theme="1"/>
        <rFont val="Segoe UI"/>
        <family val="2"/>
      </rPr>
      <t xml:space="preserve"> y soportado el cierre con </t>
    </r>
    <r>
      <rPr>
        <b/>
        <sz val="9"/>
        <color theme="1"/>
        <rFont val="Segoe UI"/>
        <family val="2"/>
      </rPr>
      <t>CAES</t>
    </r>
    <r>
      <rPr>
        <sz val="9"/>
        <color theme="1"/>
        <rFont val="Segoe UI"/>
        <family val="2"/>
      </rPr>
      <t>?</t>
    </r>
  </si>
  <si>
    <t>Estimaciones sobre las actividades de su rol (ej. EUHE/PT + CAES)</t>
  </si>
  <si>
    <r>
      <t xml:space="preserve">¿La experiencia suma </t>
    </r>
    <r>
      <rPr>
        <b/>
        <sz val="9"/>
        <color theme="1"/>
        <rFont val="Segoe UI"/>
        <family val="2"/>
      </rPr>
      <t>≥5 años</t>
    </r>
    <r>
      <rPr>
        <sz val="9"/>
        <color theme="1"/>
        <rFont val="Segoe UI"/>
        <family val="2"/>
      </rPr>
      <t xml:space="preserve"> en </t>
    </r>
    <r>
      <rPr>
        <b/>
        <sz val="9"/>
        <color theme="1"/>
        <rFont val="Segoe UI"/>
        <family val="2"/>
      </rPr>
      <t xml:space="preserve">desarrollo </t>
    </r>
    <r>
      <rPr>
        <sz val="9"/>
        <color theme="1"/>
        <rFont val="Segoe UI"/>
        <family val="2"/>
      </rPr>
      <t>de software</t>
    </r>
    <r>
      <rPr>
        <b/>
        <sz val="9"/>
        <color theme="1"/>
        <rFont val="Segoe UI"/>
        <family val="2"/>
      </rPr>
      <t xml:space="preserve"> y liderazgo técnico</t>
    </r>
    <r>
      <rPr>
        <sz val="9"/>
        <color theme="1"/>
        <rFont val="Segoe UI"/>
        <family val="2"/>
      </rPr>
      <t xml:space="preserve">, así como atención y resolución de problemas. </t>
    </r>
    <r>
      <rPr>
        <b/>
        <sz val="9"/>
        <color theme="1"/>
        <rFont val="Segoe UI"/>
        <family val="2"/>
      </rPr>
      <t>Dominio</t>
    </r>
    <r>
      <rPr>
        <sz val="9"/>
        <color theme="1"/>
        <rFont val="Segoe UI"/>
        <family val="2"/>
      </rPr>
      <t xml:space="preserve"> en las tecnologías de la </t>
    </r>
    <r>
      <rPr>
        <b/>
        <sz val="9"/>
        <color theme="1"/>
        <rFont val="Segoe UI"/>
        <family val="2"/>
      </rPr>
      <t>Arquitectura de Referencia</t>
    </r>
    <r>
      <rPr>
        <sz val="9"/>
        <color theme="1"/>
        <rFont val="Segoe UI"/>
        <family val="2"/>
      </rPr>
      <t xml:space="preserve"> (AR) y/o tecnologías open source?</t>
    </r>
  </si>
  <si>
    <r>
      <t xml:space="preserve">¿El CV documenta </t>
    </r>
    <r>
      <rPr>
        <b/>
        <sz val="9"/>
        <color theme="1"/>
        <rFont val="Segoe UI"/>
        <family val="2"/>
      </rPr>
      <t>proyectos</t>
    </r>
    <r>
      <rPr>
        <sz val="9"/>
        <color theme="1"/>
        <rFont val="Segoe UI"/>
        <family val="2"/>
      </rPr>
      <t xml:space="preserve"> (grandes/críticos) resaltando habilidades en: 
- Gestión de proyectos
- Liderazgo?</t>
    </r>
  </si>
  <si>
    <t xml:space="preserve">Acreditar la competencia señalada 
Estudios nivel superior acreditable de nivel licenciatura o ingeniería
</t>
  </si>
  <si>
    <t>Computación e Informática, Administración, Informática Administrativa, Matemáticas-Actuaría, Física, Contaduría, Sistemas y Calidad</t>
  </si>
  <si>
    <r>
      <t xml:space="preserve">¿Se adjunta </t>
    </r>
    <r>
      <rPr>
        <b/>
        <sz val="9"/>
        <rFont val="Segoe UI"/>
        <family val="2"/>
      </rPr>
      <t>imagen legible</t>
    </r>
    <r>
      <rPr>
        <sz val="9"/>
        <rFont val="Segoe UI"/>
        <family val="2"/>
      </rPr>
      <t xml:space="preserve"> de la </t>
    </r>
    <r>
      <rPr>
        <b/>
        <sz val="9"/>
        <rFont val="Segoe UI"/>
        <family val="2"/>
      </rPr>
      <t>cédula profesional</t>
    </r>
    <r>
      <rPr>
        <sz val="9"/>
        <rFont val="Segoe UI"/>
        <family val="2"/>
      </rPr>
      <t>, preferentemente a color?</t>
    </r>
  </si>
  <si>
    <r>
      <t xml:space="preserve">¿Se adjunta </t>
    </r>
    <r>
      <rPr>
        <b/>
        <sz val="9"/>
        <rFont val="Segoe UI"/>
        <family val="2"/>
      </rPr>
      <t>copia digital clara</t>
    </r>
    <r>
      <rPr>
        <sz val="9"/>
        <rFont val="Segoe UI"/>
        <family val="2"/>
      </rPr>
      <t xml:space="preserve"> del </t>
    </r>
    <r>
      <rPr>
        <b/>
        <sz val="9"/>
        <rFont val="Segoe UI"/>
        <family val="2"/>
      </rPr>
      <t>título/certificado</t>
    </r>
    <r>
      <rPr>
        <sz val="9"/>
        <rFont val="Segoe UI"/>
        <family val="2"/>
      </rPr>
      <t xml:space="preserve"> de estudios concluidos?</t>
    </r>
  </si>
  <si>
    <t>¿El candidato cuenta con certificaciones ?</t>
  </si>
  <si>
    <r>
      <t xml:space="preserve">Adicional es </t>
    </r>
    <r>
      <rPr>
        <b/>
        <sz val="9"/>
        <rFont val="Segoe UI"/>
        <family val="2"/>
      </rPr>
      <t>deseable</t>
    </r>
    <r>
      <rPr>
        <sz val="9"/>
        <rFont val="Segoe UI"/>
        <family val="2"/>
      </rPr>
      <t xml:space="preserve"> alguna de las siguientes </t>
    </r>
    <r>
      <rPr>
        <b/>
        <sz val="9"/>
        <rFont val="Segoe UI"/>
        <family val="2"/>
      </rPr>
      <t>certificaciones</t>
    </r>
    <r>
      <rPr>
        <sz val="9"/>
        <rFont val="Segoe UI"/>
        <family val="2"/>
      </rPr>
      <t xml:space="preserve"> vigente:
ITIL v4
SCRUM Master </t>
    </r>
  </si>
  <si>
    <r>
      <t xml:space="preserve">Acreditar conocimiento comprobable en las tecnologías descritas - </t>
    </r>
    <r>
      <rPr>
        <b/>
        <sz val="9"/>
        <color theme="1"/>
        <rFont val="Segoe UI"/>
        <family val="2"/>
      </rPr>
      <t>Cursos
•	Lenguajes de Programación
•	Cómputo en la nube
•	Bases de Datos
•	Sistemas Operativos
•	Servicios integrales de autenticación:</t>
    </r>
  </si>
  <si>
    <r>
      <t xml:space="preserve">Conocimiento comprobable en las tecnologías descritas en la introducción del documento </t>
    </r>
    <r>
      <rPr>
        <b/>
        <sz val="9"/>
        <rFont val="Segoe UI"/>
        <family val="2"/>
      </rPr>
      <t>Anexo Staff</t>
    </r>
    <r>
      <rPr>
        <sz val="9"/>
        <rFont val="Segoe UI"/>
        <family val="2"/>
      </rPr>
      <t xml:space="preserve">
•	</t>
    </r>
    <r>
      <rPr>
        <b/>
        <sz val="9"/>
        <rFont val="Segoe UI"/>
        <family val="2"/>
      </rPr>
      <t>Lenguajes de Programación</t>
    </r>
    <r>
      <rPr>
        <sz val="9"/>
        <rFont val="Segoe UI"/>
        <family val="2"/>
      </rPr>
      <t xml:space="preserve">: Java (open jdk), Ansi, C#, C/, C++, DataStage, Basic, 4GL, SPL, Transact SQL, Python, Scala, R, Rust.
•	</t>
    </r>
    <r>
      <rPr>
        <b/>
        <sz val="9"/>
        <rFont val="Segoe UI"/>
        <family val="2"/>
      </rPr>
      <t>Cómputo en la nube</t>
    </r>
    <r>
      <rPr>
        <sz val="9"/>
        <rFont val="Segoe UI"/>
        <family val="2"/>
      </rPr>
      <t xml:space="preserve">: AWS, Azure, Data Factory, Databricks, Dockers/Kubernetes, ARO (Azure Redhat OpenShift), Data Pipelines.
•	</t>
    </r>
    <r>
      <rPr>
        <b/>
        <sz val="9"/>
        <rFont val="Segoe UI"/>
        <family val="2"/>
      </rPr>
      <t>Bases de Datos</t>
    </r>
    <r>
      <rPr>
        <sz val="9"/>
        <rFont val="Segoe UI"/>
        <family val="2"/>
      </rPr>
      <t xml:space="preserve">: PostgreSQL, Oracle, MariaDB, IBM, Informix, SQL Server, QVD, Azure SQL, Cassandra, DataLake, DB2.
•	</t>
    </r>
    <r>
      <rPr>
        <b/>
        <sz val="9"/>
        <rFont val="Segoe UI"/>
        <family val="2"/>
      </rPr>
      <t>Sistemas Operativos</t>
    </r>
    <r>
      <rPr>
        <sz val="9"/>
        <rFont val="Segoe UI"/>
        <family val="2"/>
      </rPr>
      <t xml:space="preserve">: Linux, Unix, Windows Server, z/OS, Spice.
•	</t>
    </r>
    <r>
      <rPr>
        <b/>
        <sz val="9"/>
        <rFont val="Segoe UI"/>
        <family val="2"/>
      </rPr>
      <t>Servicios integrales de autenticación</t>
    </r>
    <r>
      <rPr>
        <sz val="9"/>
        <rFont val="Segoe UI"/>
        <family val="2"/>
      </rPr>
      <t>: E-firma, OAuth 2.0, OWIN, SAML2, Omniguard.</t>
    </r>
  </si>
  <si>
    <r>
      <t xml:space="preserve">¿El candidato cuenta con los </t>
    </r>
    <r>
      <rPr>
        <b/>
        <sz val="9"/>
        <color theme="1"/>
        <rFont val="Segoe UI"/>
        <family val="2"/>
      </rPr>
      <t>documentos</t>
    </r>
    <r>
      <rPr>
        <sz val="9"/>
        <color theme="1"/>
        <rFont val="Segoe UI"/>
        <family val="2"/>
      </rPr>
      <t xml:space="preserve"> que </t>
    </r>
    <r>
      <rPr>
        <b/>
        <sz val="9"/>
        <color theme="1"/>
        <rFont val="Segoe UI"/>
        <family val="2"/>
      </rPr>
      <t>acrediten</t>
    </r>
    <r>
      <rPr>
        <sz val="9"/>
        <color theme="1"/>
        <rFont val="Segoe UI"/>
        <family val="2"/>
      </rPr>
      <t xml:space="preserve"> las </t>
    </r>
    <r>
      <rPr>
        <b/>
        <sz val="9"/>
        <color theme="1"/>
        <rFont val="Segoe UI"/>
        <family val="2"/>
      </rPr>
      <t>certificaciones</t>
    </r>
    <r>
      <rPr>
        <sz val="9"/>
        <color theme="1"/>
        <rFont val="Segoe UI"/>
        <family val="2"/>
      </rPr>
      <t>?</t>
    </r>
  </si>
  <si>
    <r>
      <t xml:space="preserve">¿El candidato cuenta con la certificación </t>
    </r>
    <r>
      <rPr>
        <b/>
        <sz val="9"/>
        <color theme="1"/>
        <rFont val="Segoe UI"/>
        <family val="2"/>
      </rPr>
      <t>ITIL</t>
    </r>
    <r>
      <rPr>
        <sz val="9"/>
        <color theme="1"/>
        <rFont val="Segoe UI"/>
        <family val="2"/>
      </rPr>
      <t xml:space="preserve"> </t>
    </r>
    <r>
      <rPr>
        <b/>
        <sz val="9"/>
        <color theme="1"/>
        <rFont val="Segoe UI"/>
        <family val="2"/>
      </rPr>
      <t>v4 Foundation vigente</t>
    </r>
    <r>
      <rPr>
        <sz val="9"/>
        <color theme="1"/>
        <rFont val="Segoe UI"/>
        <family val="2"/>
      </rPr>
      <t>?</t>
    </r>
  </si>
  <si>
    <t xml:space="preserve">Acreditar al menos 1 certificación vigente </t>
  </si>
  <si>
    <r>
      <t xml:space="preserve">¿El candidato posee </t>
    </r>
    <r>
      <rPr>
        <b/>
        <sz val="9"/>
        <color theme="1"/>
        <rFont val="Segoe UI"/>
        <family val="2"/>
      </rPr>
      <t>Scrum Master</t>
    </r>
    <r>
      <rPr>
        <sz val="9"/>
        <color theme="1"/>
        <rFont val="Segoe UI"/>
        <family val="2"/>
      </rPr>
      <t xml:space="preserve"> vigente como </t>
    </r>
    <r>
      <rPr>
        <b/>
        <sz val="9"/>
        <color theme="1"/>
        <rFont val="Segoe UI"/>
        <family val="2"/>
      </rPr>
      <t>certificación adicional</t>
    </r>
    <r>
      <rPr>
        <sz val="9"/>
        <color theme="1"/>
        <rFont val="Segoe UI"/>
        <family val="2"/>
      </rPr>
      <t xml:space="preserve"> (si es la seleccionada)?</t>
    </r>
  </si>
  <si>
    <t xml:space="preserve">La certificación 1 es legible y vigente </t>
  </si>
  <si>
    <t xml:space="preserve">El documento oficial de cada certificado está en el repositorio
Especificar cuál es de las siguientes: 
ITIL v4
SCRUM Master </t>
  </si>
  <si>
    <r>
      <t xml:space="preserve">¿Las </t>
    </r>
    <r>
      <rPr>
        <b/>
        <sz val="9"/>
        <color theme="1"/>
        <rFont val="Segoe UI"/>
        <family val="2"/>
      </rPr>
      <t>fechas de emisión y expiración</t>
    </r>
    <r>
      <rPr>
        <sz val="9"/>
        <color theme="1"/>
        <rFont val="Segoe UI"/>
        <family val="2"/>
      </rPr>
      <t xml:space="preserve"> está </t>
    </r>
    <r>
      <rPr>
        <b/>
        <sz val="9"/>
        <color theme="1"/>
        <rFont val="Segoe UI"/>
        <family val="2"/>
      </rPr>
      <t>claramente</t>
    </r>
    <r>
      <rPr>
        <sz val="9"/>
        <color theme="1"/>
        <rFont val="Segoe UI"/>
        <family val="2"/>
      </rPr>
      <t xml:space="preserve"> indicadas?</t>
    </r>
  </si>
  <si>
    <r>
      <t xml:space="preserve">¿El </t>
    </r>
    <r>
      <rPr>
        <b/>
        <sz val="9"/>
        <color theme="1"/>
        <rFont val="Segoe UI"/>
        <family val="2"/>
      </rPr>
      <t>nombre</t>
    </r>
    <r>
      <rPr>
        <sz val="9"/>
        <color theme="1"/>
        <rFont val="Segoe UI"/>
        <family val="2"/>
      </rPr>
      <t xml:space="preserve"> coincide </t>
    </r>
    <r>
      <rPr>
        <b/>
        <sz val="9"/>
        <color theme="1"/>
        <rFont val="Segoe UI"/>
        <family val="2"/>
      </rPr>
      <t>exactamente</t>
    </r>
    <r>
      <rPr>
        <sz val="9"/>
        <color theme="1"/>
        <rFont val="Segoe UI"/>
        <family val="2"/>
      </rPr>
      <t xml:space="preserve"> con el CV y la identificación?</t>
    </r>
  </si>
  <si>
    <r>
      <t xml:space="preserve">¿La certificación fue </t>
    </r>
    <r>
      <rPr>
        <b/>
        <sz val="9"/>
        <color theme="1"/>
        <rFont val="Segoe UI"/>
        <family val="2"/>
      </rPr>
      <t>verificada</t>
    </r>
    <r>
      <rPr>
        <sz val="9"/>
        <color theme="1"/>
        <rFont val="Segoe UI"/>
        <family val="2"/>
      </rPr>
      <t xml:space="preserve"> en el </t>
    </r>
    <r>
      <rPr>
        <b/>
        <sz val="9"/>
        <color theme="1"/>
        <rFont val="Segoe UI"/>
        <family val="2"/>
      </rPr>
      <t>registro oficial</t>
    </r>
    <r>
      <rPr>
        <sz val="9"/>
        <color theme="1"/>
        <rFont val="Segoe UI"/>
        <family val="2"/>
      </rPr>
      <t xml:space="preserve"> de la entidad emisora (cuando aplique)?</t>
    </r>
  </si>
  <si>
    <r>
      <t xml:space="preserve">¿La certificación tendrá </t>
    </r>
    <r>
      <rPr>
        <b/>
        <sz val="9"/>
        <color theme="1"/>
        <rFont val="Segoe UI"/>
        <family val="2"/>
      </rPr>
      <t>vigencia</t>
    </r>
    <r>
      <rPr>
        <sz val="9"/>
        <color theme="1"/>
        <rFont val="Segoe UI"/>
        <family val="2"/>
      </rPr>
      <t xml:space="preserve"> durante </t>
    </r>
    <r>
      <rPr>
        <b/>
        <sz val="9"/>
        <color theme="1"/>
        <rFont val="Segoe UI"/>
        <family val="2"/>
      </rPr>
      <t>toda la vida del contrato</t>
    </r>
    <r>
      <rPr>
        <sz val="9"/>
        <color theme="1"/>
        <rFont val="Segoe UI"/>
        <family val="2"/>
      </rPr>
      <t xml:space="preserve"> (o existe plan de renovación documentado)?</t>
    </r>
  </si>
  <si>
    <t xml:space="preserve">La certificación 2 es legible y vigente </t>
  </si>
  <si>
    <t xml:space="preserve">La certificación 3 es legible y vigente </t>
  </si>
  <si>
    <t xml:space="preserve">El documento oficial de cada certificado está en el repositorio
</t>
  </si>
  <si>
    <r>
      <t xml:space="preserve">¿Las </t>
    </r>
    <r>
      <rPr>
        <b/>
        <sz val="9"/>
        <color theme="1"/>
        <rFont val="Segoe UI"/>
        <family val="2"/>
      </rPr>
      <t>constancias de cursos</t>
    </r>
    <r>
      <rPr>
        <sz val="9"/>
        <color theme="1"/>
        <rFont val="Segoe UI"/>
        <family val="2"/>
      </rPr>
      <t xml:space="preserve"> están </t>
    </r>
    <r>
      <rPr>
        <b/>
        <sz val="9"/>
        <color theme="1"/>
        <rFont val="Segoe UI"/>
        <family val="2"/>
      </rPr>
      <t>digitalizadas</t>
    </r>
    <r>
      <rPr>
        <sz val="9"/>
        <color theme="1"/>
        <rFont val="Segoe UI"/>
        <family val="2"/>
      </rPr>
      <t xml:space="preserve">, con </t>
    </r>
    <r>
      <rPr>
        <b/>
        <sz val="9"/>
        <color theme="1"/>
        <rFont val="Segoe UI"/>
        <family val="2"/>
      </rPr>
      <t>nombre coincidente</t>
    </r>
    <r>
      <rPr>
        <sz val="9"/>
        <color theme="1"/>
        <rFont val="Segoe UI"/>
        <family val="2"/>
      </rPr>
      <t xml:space="preserve"> y listas para </t>
    </r>
    <r>
      <rPr>
        <b/>
        <sz val="9"/>
        <color theme="1"/>
        <rFont val="Segoe UI"/>
        <family val="2"/>
      </rPr>
      <t>cotejo</t>
    </r>
    <r>
      <rPr>
        <sz val="9"/>
        <color theme="1"/>
        <rFont val="Segoe UI"/>
        <family val="2"/>
      </rPr>
      <t>?</t>
    </r>
  </si>
  <si>
    <r>
      <t xml:space="preserve">¿El candidato adjunta </t>
    </r>
    <r>
      <rPr>
        <b/>
        <sz val="9"/>
        <color theme="1"/>
        <rFont val="Segoe UI"/>
        <family val="2"/>
      </rPr>
      <t>constancia</t>
    </r>
    <r>
      <rPr>
        <sz val="9"/>
        <color theme="1"/>
        <rFont val="Segoe UI"/>
        <family val="2"/>
      </rPr>
      <t xml:space="preserve"> de </t>
    </r>
    <r>
      <rPr>
        <b/>
        <sz val="9"/>
        <color theme="1"/>
        <rFont val="Segoe UI"/>
        <family val="2"/>
      </rPr>
      <t>cursos de Lenguajes de Programación</t>
    </r>
    <r>
      <rPr>
        <sz val="9"/>
        <color theme="1"/>
        <rFont val="Segoe UI"/>
        <family val="2"/>
      </rPr>
      <t>?</t>
    </r>
  </si>
  <si>
    <r>
      <t xml:space="preserve">•	</t>
    </r>
    <r>
      <rPr>
        <b/>
        <sz val="9"/>
        <rFont val="Segoe UI"/>
        <family val="2"/>
      </rPr>
      <t>Lenguajes de Programación:</t>
    </r>
    <r>
      <rPr>
        <sz val="9"/>
        <rFont val="Segoe UI"/>
        <family val="2"/>
      </rPr>
      <t xml:space="preserve"> Java (open jdk), Ansi, C#, C/, C++, DataStage, Basic, 4GL, SPL, Transact SQL, Python, Scala, R, Rust.</t>
    </r>
  </si>
  <si>
    <r>
      <t xml:space="preserve">¿La </t>
    </r>
    <r>
      <rPr>
        <b/>
        <sz val="9"/>
        <color theme="1"/>
        <rFont val="Segoe UI"/>
        <family val="2"/>
      </rPr>
      <t>fecha de emisión</t>
    </r>
    <r>
      <rPr>
        <sz val="9"/>
        <color theme="1"/>
        <rFont val="Segoe UI"/>
        <family val="2"/>
      </rPr>
      <t xml:space="preserve"> del </t>
    </r>
    <r>
      <rPr>
        <b/>
        <sz val="9"/>
        <color theme="1"/>
        <rFont val="Segoe UI"/>
        <family val="2"/>
      </rPr>
      <t xml:space="preserve">curso </t>
    </r>
    <r>
      <rPr>
        <sz val="9"/>
        <color theme="1"/>
        <rFont val="Segoe UI"/>
        <family val="2"/>
      </rPr>
      <t>está registrada?</t>
    </r>
  </si>
  <si>
    <r>
      <t xml:space="preserve">¿El </t>
    </r>
    <r>
      <rPr>
        <b/>
        <sz val="9"/>
        <color theme="1"/>
        <rFont val="Segoe UI"/>
        <family val="2"/>
      </rPr>
      <t>nombre</t>
    </r>
    <r>
      <rPr>
        <sz val="9"/>
        <color theme="1"/>
        <rFont val="Segoe UI"/>
        <family val="2"/>
      </rPr>
      <t xml:space="preserve"> en la constancia del curso coincide con el CV?</t>
    </r>
  </si>
  <si>
    <r>
      <t xml:space="preserve">¿Se adjunta la </t>
    </r>
    <r>
      <rPr>
        <b/>
        <sz val="9"/>
        <color theme="1"/>
        <rFont val="Segoe UI"/>
        <family val="2"/>
      </rPr>
      <t>constancia digitalizada</t>
    </r>
    <r>
      <rPr>
        <sz val="9"/>
        <color theme="1"/>
        <rFont val="Segoe UI"/>
        <family val="2"/>
      </rPr>
      <t xml:space="preserve"> del curso?</t>
    </r>
  </si>
  <si>
    <r>
      <t xml:space="preserve">¿La </t>
    </r>
    <r>
      <rPr>
        <b/>
        <sz val="9"/>
        <color theme="1"/>
        <rFont val="Segoe UI"/>
        <family val="2"/>
      </rPr>
      <t>constancia</t>
    </r>
    <r>
      <rPr>
        <sz val="9"/>
        <color theme="1"/>
        <rFont val="Segoe UI"/>
        <family val="2"/>
      </rPr>
      <t xml:space="preserve"> está en </t>
    </r>
    <r>
      <rPr>
        <b/>
        <sz val="9"/>
        <color theme="1"/>
        <rFont val="Segoe UI"/>
        <family val="2"/>
      </rPr>
      <t>español</t>
    </r>
    <r>
      <rPr>
        <sz val="9"/>
        <color theme="1"/>
        <rFont val="Segoe UI"/>
        <family val="2"/>
      </rPr>
      <t xml:space="preserve"> o incluye </t>
    </r>
    <r>
      <rPr>
        <b/>
        <sz val="9"/>
        <color theme="1"/>
        <rFont val="Segoe UI"/>
        <family val="2"/>
      </rPr>
      <t>traducción simple</t>
    </r>
    <r>
      <rPr>
        <sz val="9"/>
        <color theme="1"/>
        <rFont val="Segoe UI"/>
        <family val="2"/>
      </rPr>
      <t>?</t>
    </r>
  </si>
  <si>
    <r>
      <t xml:space="preserve">¿El CV o la constancia especifican el </t>
    </r>
    <r>
      <rPr>
        <b/>
        <sz val="9"/>
        <color theme="1"/>
        <rFont val="Segoe UI"/>
        <family val="2"/>
      </rPr>
      <t>nivel</t>
    </r>
    <r>
      <rPr>
        <sz val="9"/>
        <color theme="1"/>
        <rFont val="Segoe UI"/>
        <family val="2"/>
      </rPr>
      <t xml:space="preserve"> del curso (</t>
    </r>
    <r>
      <rPr>
        <b/>
        <sz val="9"/>
        <color theme="1"/>
        <rFont val="Segoe UI"/>
        <family val="2"/>
      </rPr>
      <t>básico/intermedio/avanzado</t>
    </r>
    <r>
      <rPr>
        <sz val="9"/>
        <color theme="1"/>
        <rFont val="Segoe UI"/>
        <family val="2"/>
      </rPr>
      <t>)?</t>
    </r>
  </si>
  <si>
    <r>
      <t xml:space="preserve">¿El candidato adjunta </t>
    </r>
    <r>
      <rPr>
        <b/>
        <sz val="9"/>
        <color theme="1"/>
        <rFont val="Segoe UI"/>
        <family val="2"/>
      </rPr>
      <t>constancia</t>
    </r>
    <r>
      <rPr>
        <sz val="9"/>
        <color theme="1"/>
        <rFont val="Segoe UI"/>
        <family val="2"/>
      </rPr>
      <t xml:space="preserve"> de </t>
    </r>
    <r>
      <rPr>
        <b/>
        <sz val="9"/>
        <color theme="1"/>
        <rFont val="Segoe UI"/>
        <family val="2"/>
      </rPr>
      <t>cursos de Cómputo en la nube</t>
    </r>
    <r>
      <rPr>
        <sz val="9"/>
        <color theme="1"/>
        <rFont val="Segoe UI"/>
        <family val="2"/>
      </rPr>
      <t>?</t>
    </r>
  </si>
  <si>
    <r>
      <t xml:space="preserve">•	</t>
    </r>
    <r>
      <rPr>
        <b/>
        <sz val="9"/>
        <rFont val="Segoe UI"/>
        <family val="2"/>
      </rPr>
      <t>Cómputo en la nube:</t>
    </r>
    <r>
      <rPr>
        <sz val="9"/>
        <rFont val="Segoe UI"/>
        <family val="2"/>
      </rPr>
      <t xml:space="preserve"> AWS, Azure, Data Factory, Databricks, Dockers/Kubernetes, ARO (Azure Redhat OpenShift), Data Pipelines.</t>
    </r>
  </si>
  <si>
    <r>
      <t xml:space="preserve">¿El candidato adjunta </t>
    </r>
    <r>
      <rPr>
        <b/>
        <sz val="9"/>
        <color theme="1"/>
        <rFont val="Segoe UI"/>
        <family val="2"/>
      </rPr>
      <t>constancia</t>
    </r>
    <r>
      <rPr>
        <sz val="9"/>
        <color theme="1"/>
        <rFont val="Segoe UI"/>
        <family val="2"/>
      </rPr>
      <t xml:space="preserve"> de </t>
    </r>
    <r>
      <rPr>
        <b/>
        <sz val="9"/>
        <color theme="1"/>
        <rFont val="Segoe UI"/>
        <family val="2"/>
      </rPr>
      <t>cursos Bases de Datos</t>
    </r>
    <r>
      <rPr>
        <sz val="9"/>
        <color theme="1"/>
        <rFont val="Segoe UI"/>
        <family val="2"/>
      </rPr>
      <t>?</t>
    </r>
  </si>
  <si>
    <r>
      <t xml:space="preserve">•	</t>
    </r>
    <r>
      <rPr>
        <b/>
        <sz val="9"/>
        <rFont val="Segoe UI"/>
        <family val="2"/>
      </rPr>
      <t>Bases de Datos</t>
    </r>
    <r>
      <rPr>
        <sz val="9"/>
        <rFont val="Segoe UI"/>
        <family val="2"/>
      </rPr>
      <t>: PostgreSQL, Oracle, MariaDB, IBM, Informix, SQL Server, QVD, Azure SQL, Cassandra, DataLake, DB2.</t>
    </r>
  </si>
  <si>
    <r>
      <t xml:space="preserve">¿El candidato adjunta </t>
    </r>
    <r>
      <rPr>
        <b/>
        <sz val="9"/>
        <color theme="1"/>
        <rFont val="Segoe UI"/>
        <family val="2"/>
      </rPr>
      <t>constancia</t>
    </r>
    <r>
      <rPr>
        <sz val="9"/>
        <color theme="1"/>
        <rFont val="Segoe UI"/>
        <family val="2"/>
      </rPr>
      <t xml:space="preserve"> de cursos de </t>
    </r>
    <r>
      <rPr>
        <b/>
        <sz val="9"/>
        <color theme="1"/>
        <rFont val="Segoe UI"/>
        <family val="2"/>
      </rPr>
      <t xml:space="preserve">Sistemas Operativos </t>
    </r>
    <r>
      <rPr>
        <sz val="9"/>
        <color theme="1"/>
        <rFont val="Segoe UI"/>
        <family val="2"/>
      </rPr>
      <t>?</t>
    </r>
  </si>
  <si>
    <r>
      <t xml:space="preserve">•	</t>
    </r>
    <r>
      <rPr>
        <b/>
        <sz val="9"/>
        <rFont val="Segoe UI"/>
        <family val="2"/>
      </rPr>
      <t>Sistemas Operativos</t>
    </r>
    <r>
      <rPr>
        <sz val="9"/>
        <rFont val="Segoe UI"/>
        <family val="2"/>
      </rPr>
      <t>: Linux, Unix, Windows Server, z/OS, Spice.</t>
    </r>
  </si>
  <si>
    <r>
      <t xml:space="preserve">¿El candidato adjunta </t>
    </r>
    <r>
      <rPr>
        <b/>
        <sz val="9"/>
        <color theme="1"/>
        <rFont val="Segoe UI"/>
        <family val="2"/>
      </rPr>
      <t>constancia</t>
    </r>
    <r>
      <rPr>
        <sz val="9"/>
        <color theme="1"/>
        <rFont val="Segoe UI"/>
        <family val="2"/>
      </rPr>
      <t xml:space="preserve"> de </t>
    </r>
    <r>
      <rPr>
        <b/>
        <sz val="9"/>
        <color theme="1"/>
        <rFont val="Segoe UI"/>
        <family val="2"/>
      </rPr>
      <t>cursos de Servicios integrales de autenticación</t>
    </r>
    <r>
      <rPr>
        <sz val="9"/>
        <color theme="1"/>
        <rFont val="Segoe UI"/>
        <family val="2"/>
      </rPr>
      <t>?</t>
    </r>
  </si>
  <si>
    <r>
      <t xml:space="preserve">•	</t>
    </r>
    <r>
      <rPr>
        <b/>
        <sz val="9"/>
        <rFont val="Segoe UI"/>
        <family val="2"/>
      </rPr>
      <t>Servicios integrales de autenticación</t>
    </r>
    <r>
      <rPr>
        <sz val="9"/>
        <rFont val="Segoe UI"/>
        <family val="2"/>
      </rPr>
      <t>: E-firma, OAuth 2.0, OWIN, SAML2, Omniguard.</t>
    </r>
  </si>
  <si>
    <r>
      <t xml:space="preserve">¿El candidato adjunta </t>
    </r>
    <r>
      <rPr>
        <b/>
        <sz val="9"/>
        <color theme="1"/>
        <rFont val="Segoe UI"/>
        <family val="2"/>
      </rPr>
      <t>constancia</t>
    </r>
    <r>
      <rPr>
        <sz val="9"/>
        <color theme="1"/>
        <rFont val="Segoe UI"/>
        <family val="2"/>
      </rPr>
      <t xml:space="preserve"> del </t>
    </r>
    <r>
      <rPr>
        <b/>
        <sz val="9"/>
        <color theme="1"/>
        <rFont val="Segoe UI"/>
        <family val="2"/>
      </rPr>
      <t xml:space="preserve">curso XXXXXX </t>
    </r>
    <r>
      <rPr>
        <sz val="9"/>
        <color theme="1"/>
        <rFont val="Segoe UI"/>
        <family val="2"/>
      </rPr>
      <t>?</t>
    </r>
  </si>
  <si>
    <r>
      <t xml:space="preserve">¿El CV evidencia uso profesional de </t>
    </r>
    <r>
      <rPr>
        <b/>
        <sz val="9"/>
        <color theme="1"/>
        <rFont val="Segoe UI"/>
        <family val="2"/>
      </rPr>
      <t>Jira/MS Project</t>
    </r>
    <r>
      <rPr>
        <sz val="9"/>
        <color theme="1"/>
        <rFont val="Segoe UI"/>
        <family val="2"/>
      </rPr>
      <t xml:space="preserve"> para la gestión del ciclo de vida ágil, demostrando dominio en la configuración de tableros (Kanban/Scrum), gestión del Backlog (Epics/Stories), medición de velocidad/throughput y coordinación de ceremonias para asegurar liberaciones continuas sin impedimentos</t>
    </r>
  </si>
  <si>
    <t>Dominio de herramientas relacionadas con la gestión y operación del servicio o de proyectos.
Aclarar que ha sido en proyectos grandes/críticos</t>
  </si>
  <si>
    <r>
      <t xml:space="preserve">¿El CV acredita liderazgo </t>
    </r>
    <r>
      <rPr>
        <b/>
        <sz val="9"/>
        <color theme="1"/>
        <rFont val="Segoe UI"/>
        <family val="2"/>
      </rPr>
      <t>técnico</t>
    </r>
    <r>
      <rPr>
        <sz val="9"/>
        <color theme="1"/>
        <rFont val="Segoe UI"/>
        <family val="2"/>
      </rPr>
      <t xml:space="preserve"> en la </t>
    </r>
    <r>
      <rPr>
        <b/>
        <sz val="9"/>
        <color theme="1"/>
        <rFont val="Segoe UI"/>
        <family val="2"/>
      </rPr>
      <t>ejecución de flujos de valor</t>
    </r>
    <r>
      <rPr>
        <sz val="9"/>
        <color theme="1"/>
        <rFont val="Segoe UI"/>
        <family val="2"/>
      </rPr>
      <t xml:space="preserve"> bajo ITIL 4, demostrando la estabilidad de servicios 24x7 mediante la dirección de diagnósticos de causa raíz (Problemas), la supervisión técnica de cambios complejos y la garantía de calidad en el ciclo de vida del software para el cumplimiento de SLAs?</t>
    </r>
  </si>
  <si>
    <t>El líder técnico no solo administra el folio del problema; dirige al equipo en el troubleshooting profundo para encontrar la causa raíz técnica y evitar que se repita.
En lugar de solo "habilitar" el cambio, el líder técnico valida que el impacto técnico sea mínimo y que el plan de implementación sea seguro para la Continuidad Operativa.
Asegura que las etapas de mantenimiento se cumplan con rigor técnico para que los entregables no reboten en la fase de QA.</t>
  </si>
  <si>
    <r>
      <t xml:space="preserve">¿El CV evidencia dominio del </t>
    </r>
    <r>
      <rPr>
        <b/>
        <sz val="9"/>
        <color theme="1"/>
        <rFont val="Segoe UI"/>
        <family val="2"/>
      </rPr>
      <t>diseño técnico</t>
    </r>
    <r>
      <rPr>
        <sz val="9"/>
        <color theme="1"/>
        <rFont val="Segoe UI"/>
        <family val="2"/>
      </rPr>
      <t xml:space="preserve"> usando artefactos institucionales (EDA, FCU/FCUN, MSF) y gestión en herramienta colaborativa?</t>
    </r>
  </si>
  <si>
    <t>Ejemplos de EDA/FCU/FCUN/MSF con VoBo; repositorio con versiones</t>
  </si>
  <si>
    <r>
      <t xml:space="preserve">¿Opera </t>
    </r>
    <r>
      <rPr>
        <b/>
        <sz val="9"/>
        <color theme="1"/>
        <rFont val="Segoe UI"/>
        <family val="2"/>
      </rPr>
      <t>GitLab</t>
    </r>
    <r>
      <rPr>
        <sz val="9"/>
        <color theme="1"/>
        <rFont val="Segoe UI"/>
        <family val="2"/>
      </rPr>
      <t xml:space="preserve"> bajo estándares institucionales (ramas, tags, MR, code review, pipelines)?</t>
    </r>
  </si>
  <si>
    <t>Historial MR/commits, política de ramas, pipelines ejecutados</t>
  </si>
  <si>
    <r>
      <t xml:space="preserve">¿Utiliza herramientas de </t>
    </r>
    <r>
      <rPr>
        <b/>
        <sz val="9"/>
        <color theme="1"/>
        <rFont val="Segoe UI"/>
        <family val="2"/>
      </rPr>
      <t>gestión de configuración</t>
    </r>
    <r>
      <rPr>
        <sz val="9"/>
        <color theme="1"/>
        <rFont val="Segoe UI"/>
        <family val="2"/>
      </rPr>
      <t xml:space="preserve"> y repositorios de artefactos (</t>
    </r>
    <r>
      <rPr>
        <b/>
        <sz val="9"/>
        <color theme="1"/>
        <rFont val="Segoe UI"/>
        <family val="2"/>
      </rPr>
      <t>Nexus/Archiva</t>
    </r>
    <r>
      <rPr>
        <sz val="9"/>
        <color theme="1"/>
        <rFont val="Segoe UI"/>
        <family val="2"/>
      </rPr>
      <t>) para dependencias y entregables?</t>
    </r>
  </si>
  <si>
    <t>Registro de artefactos, checklist de paquete, versionado</t>
  </si>
  <si>
    <r>
      <t xml:space="preserve">¿Domina </t>
    </r>
    <r>
      <rPr>
        <b/>
        <sz val="9"/>
        <color theme="1"/>
        <rFont val="Segoe UI"/>
        <family val="2"/>
      </rPr>
      <t>SonarQube (SAST)</t>
    </r>
    <r>
      <rPr>
        <sz val="9"/>
        <color theme="1"/>
        <rFont val="Segoe UI"/>
        <family val="2"/>
      </rPr>
      <t xml:space="preserve"> y gestiona la remediación hasta lograr “cero bloqueantes/críticos/altos” previo a liberación?</t>
    </r>
  </si>
  <si>
    <t>Reportes SAST, evidencia de fixes, VoBo de seguridad</t>
  </si>
  <si>
    <r>
      <t xml:space="preserve">¿Utiliza herramientas o scripts para ejecutar o coordinar </t>
    </r>
    <r>
      <rPr>
        <b/>
        <sz val="9"/>
        <color theme="1"/>
        <rFont val="Segoe UI"/>
        <family val="2"/>
      </rPr>
      <t>DAST</t>
    </r>
    <r>
      <rPr>
        <sz val="9"/>
        <color theme="1"/>
        <rFont val="Segoe UI"/>
        <family val="2"/>
      </rPr>
      <t xml:space="preserve"> (análisis dinámico) previo a liberación?</t>
    </r>
  </si>
  <si>
    <t>Reporte DAST + VoBo + evidencia de re‑pruebas</t>
  </si>
  <si>
    <r>
      <t xml:space="preserve">¿Opera el sistema </t>
    </r>
    <r>
      <rPr>
        <b/>
        <sz val="9"/>
        <color theme="1"/>
        <rFont val="Segoe UI"/>
        <family val="2"/>
      </rPr>
      <t>Monitor</t>
    </r>
    <r>
      <rPr>
        <sz val="9"/>
        <color theme="1"/>
        <rFont val="Segoe UI"/>
        <family val="2"/>
      </rPr>
      <t xml:space="preserve"> para programar ventanas de liberación, seguimiento de compilación y verificación de estatus del paquete?</t>
    </r>
  </si>
  <si>
    <t>Calendarios, bitácoras Monitor, acuse “paquete recibido por AVL”</t>
  </si>
  <si>
    <r>
      <t xml:space="preserve">¿Prepara paquetes aplicativos conforme al estándar </t>
    </r>
    <r>
      <rPr>
        <b/>
        <sz val="9"/>
        <color theme="1"/>
        <rFont val="Segoe UI"/>
        <family val="2"/>
      </rPr>
      <t>AVL</t>
    </r>
    <r>
      <rPr>
        <sz val="9"/>
        <color theme="1"/>
        <rFont val="Segoe UI"/>
        <family val="2"/>
      </rPr>
      <t>, usando plantillas y checklists institucionales?</t>
    </r>
  </si>
  <si>
    <t>Checklist AVL, manuales, scripts, evidencia de empaquetado</t>
  </si>
  <si>
    <r>
      <t xml:space="preserve">¿Gestiona herramientas para </t>
    </r>
    <r>
      <rPr>
        <b/>
        <sz val="9"/>
        <color theme="1"/>
        <rFont val="Segoe UI"/>
        <family val="2"/>
      </rPr>
      <t>troubleshooting técnico</t>
    </r>
    <r>
      <rPr>
        <sz val="9"/>
        <color theme="1"/>
        <rFont val="Segoe UI"/>
        <family val="2"/>
      </rPr>
      <t xml:space="preserve"> (logs, monitoreo, trazas), integrando hallazgos a tickets y minutas de UAT/PROD?</t>
    </r>
  </si>
  <si>
    <t>Minutas troubleshooting, capturas de logs, JIRAs/MSSAT</t>
  </si>
  <si>
    <r>
      <t xml:space="preserve">¿Administra herramientas de </t>
    </r>
    <r>
      <rPr>
        <b/>
        <sz val="9"/>
        <color theme="1"/>
        <rFont val="Segoe UI"/>
        <family val="2"/>
      </rPr>
      <t>ambientes</t>
    </r>
    <r>
      <rPr>
        <sz val="9"/>
        <color theme="1"/>
        <rFont val="Segoe UI"/>
        <family val="2"/>
      </rPr>
      <t xml:space="preserve"> (INT/UAT/PROD), validando despliegues, configuraciones y VoBo con Torre SAT/SSO/RAPE/AAT?</t>
    </r>
  </si>
  <si>
    <t>Actas, VoBo, reportes de ambiente, bitácoras</t>
  </si>
  <si>
    <r>
      <t xml:space="preserve">¿Utiliza herramientas de </t>
    </r>
    <r>
      <rPr>
        <b/>
        <sz val="9"/>
        <color theme="1"/>
        <rFont val="Segoe UI"/>
        <family val="2"/>
      </rPr>
      <t>gestión de pruebas</t>
    </r>
    <r>
      <rPr>
        <sz val="9"/>
        <color theme="1"/>
        <rFont val="Segoe UI"/>
        <family val="2"/>
      </rPr>
      <t xml:space="preserve"> (matrices, planillas, dashboards) para consolidar resultados de pruebas funcionales, integración y desempeño?</t>
    </r>
  </si>
  <si>
    <t>Plan de pruebas, RPFU, matriz trazabilidad, reportes</t>
  </si>
  <si>
    <r>
      <t xml:space="preserve">¿Participa en herramientas de </t>
    </r>
    <r>
      <rPr>
        <b/>
        <sz val="9"/>
        <color theme="1"/>
        <rFont val="Segoe UI"/>
        <family val="2"/>
      </rPr>
      <t>estimación</t>
    </r>
    <r>
      <rPr>
        <sz val="9"/>
        <color theme="1"/>
        <rFont val="Segoe UI"/>
        <family val="2"/>
      </rPr>
      <t xml:space="preserve"> (EUHE 3‑puntos, PT, PSE) para CAPA/CAPA V2, asegurando trazabilidad del cálculo?</t>
    </r>
  </si>
  <si>
    <t>EUHE (O/M/P), PT (WBS), PSE, CAPA en herramienta</t>
  </si>
  <si>
    <t>¿Opera repositorios colaborativos (SharePoint, Confluence, OneDrive) con control de versiones para documentos técnicos?</t>
  </si>
  <si>
    <t>Historial de versiones; permisos; evidencia de coedición</t>
  </si>
  <si>
    <r>
      <t xml:space="preserve">¿Integra evidencias por fase (capturas, logs, VoBo, matrices) en las </t>
    </r>
    <r>
      <rPr>
        <b/>
        <sz val="9"/>
        <color theme="1"/>
        <rFont val="Segoe UI"/>
        <family val="2"/>
      </rPr>
      <t>carpetas mensuales</t>
    </r>
    <r>
      <rPr>
        <sz val="9"/>
        <color theme="1"/>
        <rFont val="Segoe UI"/>
        <family val="2"/>
      </rPr>
      <t xml:space="preserve"> para dictamen?</t>
    </r>
  </si>
  <si>
    <t>Carpeta del mes; checklist; acuse de entrega</t>
  </si>
  <si>
    <r>
      <t xml:space="preserve">¿Utiliza herramientas para capacitar a </t>
    </r>
    <r>
      <rPr>
        <b/>
        <sz val="9"/>
        <color theme="1"/>
        <rFont val="Segoe UI"/>
        <family val="2"/>
      </rPr>
      <t>MSSAT</t>
    </r>
    <r>
      <rPr>
        <sz val="9"/>
        <color theme="1"/>
        <rFont val="Segoe UI"/>
        <family val="2"/>
      </rPr>
      <t xml:space="preserve"> (material técnico, sesiones, minutas), previo a PROD?</t>
    </r>
  </si>
  <si>
    <t>Material, lista de asistencia, guía técnica</t>
  </si>
  <si>
    <t>¿Gestiona métricas operativas en tableros (SLA/OLA, defectos, velocidad, hallazgos de pruebas) usando herramientas de BI u hojas de cálculo avanzadas?</t>
  </si>
  <si>
    <t>Dashboard; tabla dinámica; KPIs mensuales</t>
  </si>
  <si>
    <t>Se deja el logo de BFS en la parte superior derecha</t>
  </si>
  <si>
    <t>Coincidencias en CV en la sección de EXPERIENCIA PROFESIONAL</t>
  </si>
  <si>
    <t>No explícito</t>
  </si>
  <si>
    <t xml:space="preserve">Parcial. 
Se evidencian prácticas de automatización y CI/CD (“Azure DevOps”, “pipelines de publicación”), pero no hay mención a GitLab, MR o code review por nombre. &gt; “Dirijo y coordino equipos técnicos… pipelines de publicación… automatización de la publicación (Azure DevOps).” (Experiencia Walmart / Element Fleet) </t>
  </si>
  <si>
    <t xml:space="preserve">Parcial. 
Sí menciona SonarQube (“Configuré y ejecuté SonarQube con Docker en una instancia de EC2.”), pero el CV no afirma “cero bloqueantes/críticos/altos” ni detalla remediaciones coordinadas hasta ese umbral. (Experiencia Walmart / Element Fleet) </t>
  </si>
  <si>
    <t>Sí hay ambientación y configuración (p.ej., “ambientación de legados y endpoints para pruebas end‑to‑end”, “configuración de entornos en AWS”)</t>
  </si>
  <si>
    <t xml:space="preserve">No se localizan actividades de capacitación a mesa de servicio. </t>
  </si>
  <si>
    <t xml:space="preserve">Ingeniería en Sistemas Computacionales </t>
  </si>
  <si>
    <t>en proceso de certificarse</t>
  </si>
  <si>
    <t>IBM - Introduction to Containers w/ Docker, Kubernetes &amp; OpenShift</t>
  </si>
  <si>
    <t>no tiene</t>
  </si>
  <si>
    <t>Cursos
- Crear Página Web con HTML y CSS
- Diseño Página Web con HTML+CSS
- HTML5
- The Complete Guide to HTML</t>
  </si>
  <si>
    <t>Project</t>
  </si>
  <si>
    <t>no tiene eso en el CV</t>
  </si>
  <si>
    <t>Coincidencias en CV para: azure devops, pipeline</t>
  </si>
  <si>
    <t>• Administro la configuración de los productos de construcción (CTR).</t>
  </si>
  <si>
    <t>Coincidencias en CV para: sonarqube</t>
  </si>
  <si>
    <t>No se encontraron menciones/indicadores en el CV que cubran este reactivo.</t>
  </si>
  <si>
    <t>Coincidencias en CV para: aws, ec2, rds, fargate</t>
  </si>
  <si>
    <t>Coincidencias en CV para: estimación, cronograma, pdp, métricas, riesgos</t>
  </si>
  <si>
    <t>No tiene</t>
  </si>
  <si>
    <t>Líder Técnico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</si>
</sst>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0"/>
      <name val="Arial"/>
      <family val="2"/>
    </font>
    <font>
      <sz val="10"/>
      <name val="Tahoma"/>
      <family val="2"/>
    </font>
    <font>
      <b/>
      <sz val="14"/>
      <name val="Tahoma"/>
      <family val="2"/>
      <charset val="178"/>
    </font>
    <font>
      <sz val="8"/>
      <name val="Microsoft Uighur"/>
      <charset val="178"/>
    </font>
    <font>
      <b/>
      <sz val="14"/>
      <name val="Tahoma"/>
      <family val="2"/>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
      <sz val="10"/>
      <color rgb="FFFF0000"/>
      <name val="Arial Narrow"/>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theme="2"/>
        <bgColor indexed="64"/>
      </patternFill>
    </fill>
    <fill>
      <patternFill patternType="solid">
        <fgColor rgb="FF8E8EB4"/>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s>
  <cellStyleXfs count="3">
    <xf numFmtId="0" fontId="0" fillId="0" borderId="0"/>
    <xf numFmtId="0" fontId="1" fillId="0" borderId="0"/>
    <xf numFmtId="9" fontId="1" fillId="0" borderId="0" applyFont="0" applyFill="0" applyBorder="0" applyAlignment="0" applyProtection="0"/>
  </cellStyleXfs>
  <cellXfs count="79">
    <xf numFmtId="0" fontId="0" fillId="0" borderId="0" xfId="0"/>
    <xf numFmtId="0" fontId="2" fillId="0" borderId="0" xfId="1" applyFont="1" applyAlignment="1">
      <alignment vertical="center"/>
    </xf>
    <xf numFmtId="0" fontId="2" fillId="0" borderId="0" xfId="1" applyFont="1"/>
    <xf numFmtId="0" fontId="6" fillId="0" borderId="0" xfId="1" applyFont="1" applyAlignment="1">
      <alignment horizontal="left" vertical="top"/>
    </xf>
    <xf numFmtId="0" fontId="6" fillId="0" borderId="0" xfId="1" applyFont="1" applyAlignment="1">
      <alignment horizontal="left" vertical="top" wrapText="1"/>
    </xf>
    <xf numFmtId="0" fontId="2" fillId="0" borderId="0" xfId="1" applyFont="1" applyAlignment="1">
      <alignment horizontal="center"/>
    </xf>
    <xf numFmtId="0" fontId="6" fillId="0" borderId="0" xfId="1" applyFont="1" applyAlignment="1">
      <alignment horizontal="right" vertical="top"/>
    </xf>
    <xf numFmtId="0" fontId="7" fillId="0" borderId="0" xfId="1" applyFont="1" applyAlignment="1">
      <alignment horizontal="left"/>
    </xf>
    <xf numFmtId="0" fontId="6" fillId="0" borderId="0" xfId="1" applyFont="1" applyAlignment="1">
      <alignment horizontal="right" vertical="top" wrapText="1"/>
    </xf>
    <xf numFmtId="0" fontId="8" fillId="0" borderId="0" xfId="1" applyFont="1" applyAlignment="1">
      <alignment horizontal="right"/>
    </xf>
    <xf numFmtId="0" fontId="7" fillId="0" borderId="0" xfId="1" applyFont="1" applyAlignment="1">
      <alignment horizontal="left" wrapText="1"/>
    </xf>
    <xf numFmtId="0" fontId="11" fillId="3" borderId="3" xfId="1" applyFont="1" applyFill="1" applyBorder="1" applyAlignment="1">
      <alignment vertical="top"/>
    </xf>
    <xf numFmtId="0" fontId="12" fillId="4" borderId="3" xfId="1" applyFont="1" applyFill="1" applyBorder="1" applyAlignment="1">
      <alignment vertical="top" wrapText="1"/>
    </xf>
    <xf numFmtId="0" fontId="11" fillId="5" borderId="4" xfId="1" applyFont="1" applyFill="1" applyBorder="1" applyAlignment="1">
      <alignment horizontal="center" vertical="top"/>
    </xf>
    <xf numFmtId="0" fontId="11" fillId="5" borderId="5" xfId="1" applyFont="1" applyFill="1" applyBorder="1" applyAlignment="1">
      <alignment horizontal="center" vertical="top"/>
    </xf>
    <xf numFmtId="0" fontId="11" fillId="5" borderId="3" xfId="1" applyFont="1" applyFill="1" applyBorder="1" applyAlignment="1">
      <alignment horizontal="center" vertical="top" wrapText="1"/>
    </xf>
    <xf numFmtId="0" fontId="13" fillId="5" borderId="6" xfId="1" applyFont="1" applyFill="1" applyBorder="1" applyAlignment="1">
      <alignment horizontal="center"/>
    </xf>
    <xf numFmtId="0" fontId="13" fillId="5" borderId="7" xfId="1" applyFont="1" applyFill="1" applyBorder="1" applyAlignment="1">
      <alignment horizontal="center"/>
    </xf>
    <xf numFmtId="0" fontId="13" fillId="5" borderId="8" xfId="1" applyFont="1" applyFill="1" applyBorder="1" applyAlignment="1">
      <alignment horizontal="center"/>
    </xf>
    <xf numFmtId="0" fontId="2" fillId="0" borderId="4" xfId="1" applyFont="1" applyBorder="1" applyAlignment="1">
      <alignment vertical="center"/>
    </xf>
    <xf numFmtId="0" fontId="11" fillId="3" borderId="5" xfId="1" applyFont="1" applyFill="1" applyBorder="1" applyAlignment="1">
      <alignment vertical="top"/>
    </xf>
    <xf numFmtId="0" fontId="14" fillId="0" borderId="9" xfId="1" applyFont="1" applyBorder="1"/>
    <xf numFmtId="0" fontId="9" fillId="6" borderId="3" xfId="1" applyFont="1" applyFill="1" applyBorder="1" applyAlignment="1">
      <alignment vertical="top" wrapText="1"/>
    </xf>
    <xf numFmtId="0" fontId="15" fillId="2" borderId="2" xfId="1" applyFont="1" applyFill="1" applyBorder="1" applyAlignment="1">
      <alignment horizontal="center" vertical="top" wrapText="1"/>
    </xf>
    <xf numFmtId="0" fontId="15" fillId="2" borderId="2" xfId="1" applyFont="1" applyFill="1" applyBorder="1" applyAlignment="1">
      <alignment vertical="top" wrapText="1"/>
    </xf>
    <xf numFmtId="0" fontId="16" fillId="0" borderId="0" xfId="0" applyFont="1" applyAlignment="1">
      <alignment vertical="center" wrapText="1"/>
    </xf>
    <xf numFmtId="0" fontId="9" fillId="0" borderId="3" xfId="1" applyFont="1" applyBorder="1" applyAlignment="1">
      <alignment vertical="top" wrapText="1"/>
    </xf>
    <xf numFmtId="0" fontId="14" fillId="0" borderId="9" xfId="1" applyFont="1" applyBorder="1" applyAlignment="1">
      <alignment vertical="top"/>
    </xf>
    <xf numFmtId="0" fontId="11" fillId="7" borderId="10" xfId="1" applyFont="1" applyFill="1" applyBorder="1" applyAlignment="1">
      <alignment vertical="top"/>
    </xf>
    <xf numFmtId="0" fontId="11" fillId="7" borderId="3" xfId="1" applyFont="1" applyFill="1" applyBorder="1" applyAlignment="1">
      <alignment vertical="top"/>
    </xf>
    <xf numFmtId="0" fontId="16" fillId="0" borderId="4" xfId="0" applyFont="1" applyBorder="1" applyAlignment="1">
      <alignment vertical="center" wrapText="1"/>
    </xf>
    <xf numFmtId="0" fontId="9" fillId="0" borderId="5" xfId="1" applyFont="1" applyBorder="1" applyAlignment="1">
      <alignment vertical="top" wrapText="1"/>
    </xf>
    <xf numFmtId="0" fontId="9" fillId="0" borderId="3" xfId="1" applyFont="1" applyBorder="1" applyAlignment="1">
      <alignment horizontal="left" vertical="top" wrapText="1"/>
    </xf>
    <xf numFmtId="0" fontId="11" fillId="7" borderId="5" xfId="1" applyFont="1" applyFill="1" applyBorder="1" applyAlignment="1">
      <alignment vertical="top"/>
    </xf>
    <xf numFmtId="0" fontId="15" fillId="2" borderId="2" xfId="1" applyFont="1" applyFill="1" applyBorder="1" applyAlignment="1">
      <alignment horizontal="left" vertical="top" wrapText="1"/>
    </xf>
    <xf numFmtId="0" fontId="16" fillId="0" borderId="5" xfId="0" applyFont="1" applyBorder="1" applyAlignment="1">
      <alignment vertical="top"/>
    </xf>
    <xf numFmtId="0" fontId="9" fillId="0" borderId="11" xfId="1" applyFont="1" applyBorder="1" applyAlignment="1">
      <alignment vertical="top" wrapText="1"/>
    </xf>
    <xf numFmtId="0" fontId="9" fillId="0" borderId="4" xfId="1" applyFont="1" applyBorder="1" applyAlignment="1">
      <alignment vertical="top" wrapText="1"/>
    </xf>
    <xf numFmtId="0" fontId="9" fillId="0" borderId="5" xfId="1" applyFont="1" applyBorder="1" applyAlignment="1">
      <alignment horizontal="left" vertical="top" wrapText="1"/>
    </xf>
    <xf numFmtId="0" fontId="1" fillId="0" borderId="0" xfId="1"/>
    <xf numFmtId="0" fontId="10" fillId="0" borderId="0" xfId="1" applyFont="1"/>
    <xf numFmtId="0" fontId="9" fillId="6" borderId="5" xfId="1" applyFont="1" applyFill="1" applyBorder="1" applyAlignment="1">
      <alignment horizontal="left" vertical="top" wrapText="1"/>
    </xf>
    <xf numFmtId="0" fontId="11" fillId="3" borderId="3" xfId="1" applyFont="1" applyFill="1" applyBorder="1" applyAlignment="1">
      <alignment vertical="top" wrapText="1"/>
    </xf>
    <xf numFmtId="10" fontId="18" fillId="0" borderId="0" xfId="2" applyNumberFormat="1" applyFont="1" applyAlignment="1">
      <alignment horizontal="center"/>
    </xf>
    <xf numFmtId="0" fontId="19" fillId="0" borderId="0" xfId="1" applyFont="1" applyAlignment="1">
      <alignment horizontal="left"/>
    </xf>
    <xf numFmtId="0" fontId="6" fillId="0" borderId="0" xfId="1" applyFont="1" applyAlignment="1">
      <alignment vertical="top"/>
    </xf>
    <xf numFmtId="0" fontId="6" fillId="0" borderId="0" xfId="1" applyFont="1" applyAlignment="1">
      <alignment vertical="top" wrapText="1"/>
    </xf>
    <xf numFmtId="9" fontId="18" fillId="0" borderId="0" xfId="2" applyFont="1" applyAlignment="1">
      <alignment horizontal="center"/>
    </xf>
    <xf numFmtId="14" fontId="19" fillId="0" borderId="0" xfId="1" applyNumberFormat="1" applyFont="1" applyAlignment="1">
      <alignment horizontal="left"/>
    </xf>
    <xf numFmtId="0" fontId="20" fillId="0" borderId="0" xfId="1" applyFont="1"/>
    <xf numFmtId="0" fontId="9" fillId="0" borderId="0" xfId="1" applyFont="1" applyAlignment="1">
      <alignment vertical="top"/>
    </xf>
    <xf numFmtId="0" fontId="9" fillId="0" borderId="0" xfId="1" applyFont="1" applyAlignment="1">
      <alignment vertical="top" wrapText="1"/>
    </xf>
    <xf numFmtId="2" fontId="9" fillId="0" borderId="0" xfId="1" applyNumberFormat="1" applyFont="1" applyAlignment="1">
      <alignment vertical="top"/>
    </xf>
    <xf numFmtId="2" fontId="9" fillId="0" borderId="0" xfId="1" applyNumberFormat="1" applyFont="1" applyAlignment="1">
      <alignment vertical="top" wrapText="1"/>
    </xf>
    <xf numFmtId="0" fontId="2" fillId="0" borderId="0" xfId="1" applyFont="1" applyAlignment="1">
      <alignment vertical="center" wrapText="1"/>
    </xf>
    <xf numFmtId="0" fontId="21" fillId="0" borderId="0" xfId="1" applyFont="1" applyAlignment="1">
      <alignment wrapText="1"/>
    </xf>
    <xf numFmtId="0" fontId="2" fillId="0" borderId="0" xfId="1" applyFont="1" applyAlignment="1">
      <alignment wrapText="1"/>
    </xf>
    <xf numFmtId="0" fontId="6" fillId="0" borderId="5" xfId="1" applyFont="1" applyBorder="1" applyAlignment="1">
      <alignment vertical="top" wrapText="1"/>
    </xf>
    <xf numFmtId="0" fontId="6" fillId="3" borderId="10" xfId="1" applyFont="1" applyFill="1" applyBorder="1" applyAlignment="1">
      <alignment vertical="top"/>
    </xf>
    <xf numFmtId="0" fontId="9" fillId="0" borderId="0" xfId="1" applyFont="1" applyAlignment="1">
      <alignment horizontal="left" vertical="top"/>
    </xf>
    <xf numFmtId="0" fontId="3" fillId="0" borderId="0" xfId="1" applyFont="1" applyAlignment="1">
      <alignment horizontal="left"/>
    </xf>
    <xf numFmtId="0" fontId="5" fillId="0" borderId="0" xfId="1" applyFont="1" applyAlignment="1">
      <alignment horizontal="left"/>
    </xf>
    <xf numFmtId="0" fontId="7" fillId="2" borderId="1" xfId="1" applyFont="1" applyFill="1" applyBorder="1" applyAlignment="1">
      <alignment horizontal="left"/>
    </xf>
    <xf numFmtId="0" fontId="7" fillId="2" borderId="2" xfId="1" applyFont="1" applyFill="1" applyBorder="1" applyAlignment="1">
      <alignment horizontal="left"/>
    </xf>
    <xf numFmtId="0" fontId="7" fillId="0" borderId="0" xfId="1" applyFont="1" applyAlignment="1">
      <alignment horizontal="left"/>
    </xf>
    <xf numFmtId="0" fontId="2" fillId="8" borderId="4" xfId="1" applyFont="1" applyFill="1" applyBorder="1" applyAlignment="1">
      <alignment vertical="center"/>
    </xf>
    <xf numFmtId="0" fontId="2" fillId="9" borderId="4" xfId="1" applyFont="1" applyFill="1" applyBorder="1" applyAlignment="1">
      <alignment vertical="center"/>
    </xf>
    <xf numFmtId="0" fontId="6" fillId="0" borderId="3" xfId="1" applyFont="1" applyBorder="1" applyAlignment="1">
      <alignment horizontal="center" vertical="top" wrapText="1"/>
    </xf>
    <xf numFmtId="0" fontId="16" fillId="0" borderId="3" xfId="0" applyFont="1" applyBorder="1" applyAlignment="1">
      <alignment vertical="top" wrapText="1"/>
    </xf>
    <xf numFmtId="0" fontId="16" fillId="0" borderId="5" xfId="0" applyFont="1" applyBorder="1" applyAlignment="1">
      <alignment vertical="top" wrapText="1"/>
    </xf>
    <xf numFmtId="0" fontId="16" fillId="0" borderId="12" xfId="0" applyFont="1" applyBorder="1" applyAlignment="1">
      <alignment horizontal="left" vertical="center" wrapText="1" indent="2"/>
    </xf>
    <xf numFmtId="0" fontId="16" fillId="0" borderId="12" xfId="0" applyFont="1" applyBorder="1" applyAlignment="1">
      <alignment vertical="center" wrapText="1"/>
    </xf>
    <xf numFmtId="0" fontId="16" fillId="10" borderId="12" xfId="0" applyFont="1" applyFill="1" applyBorder="1" applyAlignment="1">
      <alignment horizontal="left" vertical="center" wrapText="1" indent="2"/>
    </xf>
    <xf numFmtId="0" fontId="16" fillId="10" borderId="5" xfId="0" applyFont="1" applyFill="1" applyBorder="1" applyAlignment="1">
      <alignment vertical="top"/>
    </xf>
    <xf numFmtId="0" fontId="9" fillId="0" borderId="5" xfId="0" applyFont="1" applyBorder="1" applyAlignment="1">
      <alignment vertical="top" wrapText="1"/>
    </xf>
    <xf numFmtId="0" fontId="9" fillId="0" borderId="5" xfId="0" applyFont="1" applyBorder="1" applyAlignment="1">
      <alignment vertical="top"/>
    </xf>
    <xf numFmtId="0" fontId="16" fillId="6" borderId="5" xfId="0" applyFont="1" applyFill="1" applyBorder="1" applyAlignment="1">
      <alignment horizontal="left" vertical="top" wrapText="1" indent="2"/>
    </xf>
    <xf numFmtId="0" fontId="16" fillId="6" borderId="5" xfId="0" applyFont="1" applyFill="1" applyBorder="1" applyAlignment="1">
      <alignment horizontal="left" vertical="top" wrapText="1"/>
    </xf>
    <xf numFmtId="0" fontId="22" fillId="2" borderId="2" xfId="1" applyFont="1" applyFill="1" applyBorder="1" applyAlignment="1">
      <alignment vertical="top" wrapText="1"/>
    </xf>
  </cellXfs>
  <cellStyles count="3">
    <cellStyle name="Normal" xfId="0" builtinId="0"/>
    <cellStyle name="Normal 2" xfId="1" xr:uid="{D7EC8CD1-A822-48C6-ADE5-4CD8EC08A7B7}"/>
    <cellStyle name="Percent 2" xfId="2" xr:uid="{EDB0960F-D552-4D38-B654-15005052238D}"/>
  </cellStyles>
  <dxfs count="6">
    <dxf>
      <fill>
        <patternFill>
          <bgColor indexed="12"/>
        </patternFill>
      </fill>
    </dxf>
    <dxf>
      <fill>
        <patternFill>
          <bgColor indexed="43"/>
        </patternFill>
      </fill>
    </dxf>
    <dxf>
      <font>
        <condense val="0"/>
        <extend val="0"/>
        <color auto="1"/>
      </font>
      <fill>
        <patternFill>
          <bgColor indexed="10"/>
        </patternFill>
      </fill>
    </dxf>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Consolidado!A1"/><Relationship Id="rId1" Type="http://schemas.openxmlformats.org/officeDocument/2006/relationships/image" Target="../media/image1.png"/><Relationship Id="rId6" Type="http://schemas.openxmlformats.org/officeDocument/2006/relationships/image" Target="../media/image4.jpeg"/><Relationship Id="rId5" Type="http://schemas.openxmlformats.org/officeDocument/2006/relationships/hyperlink" Target="#'Datos generales &amp; Cat&#225;logos'!D2"/><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editAs="oneCell">
    <xdr:from>
      <xdr:col>2</xdr:col>
      <xdr:colOff>6350</xdr:colOff>
      <xdr:row>1</xdr:row>
      <xdr:rowOff>184150</xdr:rowOff>
    </xdr:from>
    <xdr:to>
      <xdr:col>2</xdr:col>
      <xdr:colOff>873125</xdr:colOff>
      <xdr:row>4</xdr:row>
      <xdr:rowOff>122030</xdr:rowOff>
    </xdr:to>
    <xdr:pic>
      <xdr:nvPicPr>
        <xdr:cNvPr id="2" name="Picture 24">
          <a:extLst>
            <a:ext uri="{FF2B5EF4-FFF2-40B4-BE49-F238E27FC236}">
              <a16:creationId xmlns:a16="http://schemas.microsoft.com/office/drawing/2014/main" id="{2A62A843-E8FF-41D5-92D8-36F586AF1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3475" y="400050"/>
          <a:ext cx="838200" cy="48398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0</xdr:col>
      <xdr:colOff>0</xdr:colOff>
      <xdr:row>0</xdr:row>
      <xdr:rowOff>0</xdr:rowOff>
    </xdr:from>
    <xdr:to>
      <xdr:col>0</xdr:col>
      <xdr:colOff>364434</xdr:colOff>
      <xdr:row>1</xdr:row>
      <xdr:rowOff>149394</xdr:rowOff>
    </xdr:to>
    <xdr:pic>
      <xdr:nvPicPr>
        <xdr:cNvPr id="3" name="Graphic 2" descr="Work from home Wi-Fi outline">
          <a:hlinkClick xmlns:r="http://schemas.openxmlformats.org/officeDocument/2006/relationships" r:id="rId2"/>
          <a:extLst>
            <a:ext uri="{FF2B5EF4-FFF2-40B4-BE49-F238E27FC236}">
              <a16:creationId xmlns:a16="http://schemas.microsoft.com/office/drawing/2014/main" id="{9BE6BF18-EFFD-4CB4-9391-4DC393FDF95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64434" cy="349419"/>
        </a:xfrm>
        <a:prstGeom prst="rect">
          <a:avLst/>
        </a:prstGeom>
      </xdr:spPr>
    </xdr:pic>
    <xdr:clientData/>
  </xdr:twoCellAnchor>
  <xdr:twoCellAnchor editAs="oneCell">
    <xdr:from>
      <xdr:col>1</xdr:col>
      <xdr:colOff>0</xdr:colOff>
      <xdr:row>0</xdr:row>
      <xdr:rowOff>0</xdr:rowOff>
    </xdr:from>
    <xdr:to>
      <xdr:col>1</xdr:col>
      <xdr:colOff>379063</xdr:colOff>
      <xdr:row>1</xdr:row>
      <xdr:rowOff>144614</xdr:rowOff>
    </xdr:to>
    <xdr:pic>
      <xdr:nvPicPr>
        <xdr:cNvPr id="4" name="Picture 3" descr="Icono de perfil negro de crecimiento profesional | Vector Premium">
          <a:hlinkClick xmlns:r="http://schemas.openxmlformats.org/officeDocument/2006/relationships" r:id="rId5"/>
          <a:extLst>
            <a:ext uri="{FF2B5EF4-FFF2-40B4-BE49-F238E27FC236}">
              <a16:creationId xmlns:a16="http://schemas.microsoft.com/office/drawing/2014/main" id="{2C4D0464-FF0B-4D0D-B3FB-7CE9EE65D82F}"/>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3855" t="20977" r="11821" b="15302"/>
        <a:stretch>
          <a:fillRect/>
        </a:stretch>
      </xdr:blipFill>
      <xdr:spPr bwMode="auto">
        <a:xfrm>
          <a:off x="638175" y="0"/>
          <a:ext cx="379063" cy="344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29AB-DC14-40FD-A6BC-3A4B6297771A}">
  <dimension ref="A1:AC159"/>
  <sheetViews>
    <sheetView tabSelected="1" topLeftCell="A135" workbookViewId="0">
      <selection activeCell="D138" sqref="D138"/>
    </sheetView>
  </sheetViews>
  <sheetFormatPr defaultColWidth="9.1796875" defaultRowHeight="14" x14ac:dyDescent="0.25"/>
  <cols>
    <col min="1" max="1" width="9.1796875" style="2"/>
    <col min="2" max="2" width="6.90625" style="1" bestFit="1" customWidth="1"/>
    <col min="3" max="3" width="58.36328125" style="50" customWidth="1"/>
    <col min="4" max="4" width="57" style="51" customWidth="1"/>
    <col min="5" max="5" width="18.1796875" style="5" customWidth="1"/>
    <col min="6" max="6" width="53.7265625" style="2" customWidth="1"/>
    <col min="7" max="7" width="18.1796875" style="5" customWidth="1"/>
    <col min="8" max="8" width="53.7265625" style="2" customWidth="1"/>
    <col min="9" max="16384" width="9.1796875" style="2"/>
  </cols>
  <sheetData>
    <row r="1" spans="2:29" ht="18.5" x14ac:dyDescent="0.45">
      <c r="C1" s="60" t="s">
        <v>0</v>
      </c>
      <c r="D1" s="61"/>
      <c r="E1" s="61"/>
      <c r="F1" s="61"/>
      <c r="G1" s="2"/>
      <c r="AC1" s="2" t="s">
        <v>1</v>
      </c>
    </row>
    <row r="2" spans="2:29" x14ac:dyDescent="0.25">
      <c r="C2" s="3"/>
      <c r="D2" s="4"/>
      <c r="AC2" s="2" t="s">
        <v>2</v>
      </c>
    </row>
    <row r="3" spans="2:29" x14ac:dyDescent="0.25">
      <c r="C3" s="6" t="s">
        <v>3</v>
      </c>
      <c r="D3" s="4" t="s">
        <v>4</v>
      </c>
      <c r="E3" s="62" t="s">
        <v>4</v>
      </c>
      <c r="F3" s="63"/>
      <c r="G3" s="64"/>
      <c r="H3" s="64"/>
      <c r="AC3" s="2" t="s">
        <v>5</v>
      </c>
    </row>
    <row r="4" spans="2:29" x14ac:dyDescent="0.25">
      <c r="C4" s="6" t="s">
        <v>6</v>
      </c>
      <c r="D4" s="8"/>
      <c r="E4" s="62" t="s">
        <v>7</v>
      </c>
      <c r="F4" s="63"/>
      <c r="G4" s="64"/>
      <c r="H4" s="64"/>
      <c r="AC4" s="2" t="s">
        <v>5</v>
      </c>
    </row>
    <row r="5" spans="2:29" x14ac:dyDescent="0.3">
      <c r="C5" s="6"/>
      <c r="D5" s="8"/>
      <c r="E5" s="9"/>
      <c r="F5" s="9"/>
      <c r="G5" s="9"/>
      <c r="H5" s="7"/>
    </row>
    <row r="6" spans="2:29" ht="15" customHeight="1" x14ac:dyDescent="0.25">
      <c r="C6" s="59" t="s">
        <v>8</v>
      </c>
      <c r="D6" s="59"/>
      <c r="E6" s="10" t="s">
        <v>9</v>
      </c>
      <c r="F6" s="10" t="s">
        <v>10</v>
      </c>
      <c r="G6" s="10" t="s">
        <v>9</v>
      </c>
      <c r="H6" s="10"/>
    </row>
    <row r="7" spans="2:29" ht="13.5" customHeight="1" x14ac:dyDescent="0.25">
      <c r="C7" s="59"/>
      <c r="D7" s="59"/>
      <c r="E7" s="10" t="s">
        <v>11</v>
      </c>
      <c r="F7" s="10"/>
      <c r="G7" s="10" t="s">
        <v>11</v>
      </c>
      <c r="H7" s="10"/>
    </row>
    <row r="8" spans="2:29" ht="16.5" x14ac:dyDescent="0.25">
      <c r="B8" s="11"/>
      <c r="C8" s="11" t="s">
        <v>12</v>
      </c>
      <c r="D8" s="12" t="s">
        <v>238</v>
      </c>
      <c r="E8" s="10"/>
      <c r="F8" s="10"/>
      <c r="G8" s="10"/>
      <c r="H8" s="10"/>
    </row>
    <row r="9" spans="2:29" x14ac:dyDescent="0.25">
      <c r="B9" s="13" t="s">
        <v>13</v>
      </c>
      <c r="C9" s="14" t="s">
        <v>14</v>
      </c>
      <c r="D9" s="15" t="s">
        <v>15</v>
      </c>
      <c r="E9" s="16" t="s">
        <v>16</v>
      </c>
      <c r="F9" s="17" t="s">
        <v>17</v>
      </c>
      <c r="G9" s="18" t="s">
        <v>16</v>
      </c>
      <c r="H9" s="17" t="s">
        <v>17</v>
      </c>
    </row>
    <row r="10" spans="2:29" x14ac:dyDescent="0.3">
      <c r="B10" s="19" t="s">
        <v>18</v>
      </c>
      <c r="C10" s="20" t="s">
        <v>19</v>
      </c>
      <c r="D10" s="11" t="s">
        <v>20</v>
      </c>
      <c r="E10" s="21"/>
      <c r="F10" s="21"/>
      <c r="G10" s="21"/>
      <c r="H10" s="21"/>
    </row>
    <row r="11" spans="2:29" ht="56" x14ac:dyDescent="0.25">
      <c r="B11" s="65">
        <v>1</v>
      </c>
      <c r="C11" s="31" t="s">
        <v>21</v>
      </c>
      <c r="D11" s="26" t="s">
        <v>22</v>
      </c>
      <c r="E11" s="23" t="s">
        <v>5</v>
      </c>
      <c r="F11" s="24" t="s">
        <v>23</v>
      </c>
      <c r="G11" s="23"/>
      <c r="H11" s="24"/>
    </row>
    <row r="12" spans="2:29" ht="28" x14ac:dyDescent="0.25">
      <c r="B12" s="66">
        <f>B11+1</f>
        <v>2</v>
      </c>
      <c r="C12" s="31" t="s">
        <v>24</v>
      </c>
      <c r="D12" s="31" t="s">
        <v>25</v>
      </c>
      <c r="E12" s="23" t="s">
        <v>1</v>
      </c>
      <c r="F12" s="24" t="s">
        <v>217</v>
      </c>
      <c r="G12" s="23"/>
      <c r="H12" s="24"/>
    </row>
    <row r="13" spans="2:29" ht="28" x14ac:dyDescent="0.25">
      <c r="B13" s="66">
        <f t="shared" ref="B13:B20" si="0">B12+1</f>
        <v>3</v>
      </c>
      <c r="C13" s="31" t="s">
        <v>26</v>
      </c>
      <c r="D13" s="31" t="s">
        <v>27</v>
      </c>
      <c r="E13" s="23" t="s">
        <v>1</v>
      </c>
      <c r="F13" s="24" t="s">
        <v>28</v>
      </c>
      <c r="G13" s="23"/>
      <c r="H13" s="24"/>
    </row>
    <row r="14" spans="2:29" ht="28" x14ac:dyDescent="0.25">
      <c r="B14" s="66">
        <f t="shared" si="0"/>
        <v>4</v>
      </c>
      <c r="C14" s="31" t="s">
        <v>29</v>
      </c>
      <c r="D14" s="26" t="s">
        <v>30</v>
      </c>
      <c r="E14" s="23" t="s">
        <v>1</v>
      </c>
      <c r="F14" s="24"/>
      <c r="G14" s="23"/>
      <c r="H14" s="24"/>
    </row>
    <row r="15" spans="2:29" ht="28" x14ac:dyDescent="0.25">
      <c r="B15" s="66">
        <f t="shared" si="0"/>
        <v>5</v>
      </c>
      <c r="C15" s="31" t="s">
        <v>31</v>
      </c>
      <c r="D15" s="67" t="s">
        <v>32</v>
      </c>
      <c r="E15" s="23" t="s">
        <v>1</v>
      </c>
      <c r="F15" s="24"/>
      <c r="G15" s="23"/>
      <c r="H15" s="24"/>
    </row>
    <row r="16" spans="2:29" ht="42" x14ac:dyDescent="0.25">
      <c r="B16" s="66">
        <f t="shared" si="0"/>
        <v>6</v>
      </c>
      <c r="C16" s="25" t="s">
        <v>120</v>
      </c>
      <c r="D16" s="26" t="s">
        <v>33</v>
      </c>
      <c r="E16" s="23" t="s">
        <v>1</v>
      </c>
      <c r="F16" s="24"/>
      <c r="G16" s="23"/>
      <c r="H16" s="24"/>
    </row>
    <row r="17" spans="2:8" x14ac:dyDescent="0.25">
      <c r="B17" s="66">
        <f t="shared" si="0"/>
        <v>7</v>
      </c>
      <c r="C17" s="31" t="s">
        <v>34</v>
      </c>
      <c r="D17" s="32" t="s">
        <v>35</v>
      </c>
      <c r="E17" s="23" t="s">
        <v>1</v>
      </c>
      <c r="F17" s="24"/>
      <c r="G17" s="23"/>
      <c r="H17" s="24"/>
    </row>
    <row r="18" spans="2:8" ht="28" x14ac:dyDescent="0.25">
      <c r="B18" s="66">
        <f t="shared" si="0"/>
        <v>8</v>
      </c>
      <c r="C18" s="31" t="s">
        <v>36</v>
      </c>
      <c r="D18" s="31" t="s">
        <v>37</v>
      </c>
      <c r="E18" s="23" t="s">
        <v>1</v>
      </c>
      <c r="F18" s="24"/>
      <c r="G18" s="23"/>
      <c r="H18" s="24"/>
    </row>
    <row r="19" spans="2:8" x14ac:dyDescent="0.25">
      <c r="B19" s="66">
        <f t="shared" si="0"/>
        <v>9</v>
      </c>
      <c r="C19" s="31" t="s">
        <v>38</v>
      </c>
      <c r="D19" s="26" t="s">
        <v>39</v>
      </c>
      <c r="E19" s="23" t="s">
        <v>1</v>
      </c>
      <c r="F19" s="24" t="s">
        <v>40</v>
      </c>
      <c r="G19" s="23"/>
      <c r="H19" s="24"/>
    </row>
    <row r="20" spans="2:8" ht="28" x14ac:dyDescent="0.25">
      <c r="B20" s="66">
        <f t="shared" si="0"/>
        <v>10</v>
      </c>
      <c r="C20" s="31" t="s">
        <v>41</v>
      </c>
      <c r="D20" s="26" t="s">
        <v>42</v>
      </c>
      <c r="E20" s="23" t="s">
        <v>1</v>
      </c>
      <c r="F20" s="24" t="s">
        <v>43</v>
      </c>
      <c r="G20" s="23"/>
      <c r="H20" s="24"/>
    </row>
    <row r="21" spans="2:8" x14ac:dyDescent="0.25">
      <c r="B21" s="19" t="s">
        <v>18</v>
      </c>
      <c r="C21" s="20" t="s">
        <v>44</v>
      </c>
      <c r="D21" s="11" t="s">
        <v>20</v>
      </c>
      <c r="E21" s="27" t="s">
        <v>1</v>
      </c>
      <c r="F21" s="27" t="s">
        <v>45</v>
      </c>
      <c r="G21" s="27"/>
      <c r="H21" s="27"/>
    </row>
    <row r="22" spans="2:8" ht="28" x14ac:dyDescent="0.25">
      <c r="B22" s="66">
        <v>11</v>
      </c>
      <c r="C22" s="31" t="s">
        <v>46</v>
      </c>
      <c r="D22" s="68" t="s">
        <v>47</v>
      </c>
      <c r="E22" s="23" t="s">
        <v>1</v>
      </c>
      <c r="F22" s="24"/>
      <c r="G22" s="23"/>
      <c r="H22" s="24"/>
    </row>
    <row r="23" spans="2:8" x14ac:dyDescent="0.25">
      <c r="B23" s="65">
        <f t="shared" ref="B23:B27" si="1">B22+1</f>
        <v>12</v>
      </c>
      <c r="C23" s="35" t="s">
        <v>48</v>
      </c>
      <c r="D23" s="26" t="s">
        <v>49</v>
      </c>
      <c r="E23" s="23" t="s">
        <v>5</v>
      </c>
      <c r="F23" s="24" t="s">
        <v>50</v>
      </c>
      <c r="G23" s="23"/>
      <c r="H23" s="24"/>
    </row>
    <row r="24" spans="2:8" ht="28" x14ac:dyDescent="0.25">
      <c r="B24" s="65">
        <f t="shared" si="1"/>
        <v>13</v>
      </c>
      <c r="C24" s="69" t="s">
        <v>51</v>
      </c>
      <c r="D24" s="26" t="s">
        <v>52</v>
      </c>
      <c r="E24" s="23" t="s">
        <v>5</v>
      </c>
      <c r="F24" s="24" t="s">
        <v>50</v>
      </c>
      <c r="G24" s="23"/>
      <c r="H24" s="24"/>
    </row>
    <row r="25" spans="2:8" x14ac:dyDescent="0.25">
      <c r="B25" s="65">
        <f t="shared" si="1"/>
        <v>14</v>
      </c>
      <c r="C25" s="35" t="s">
        <v>53</v>
      </c>
      <c r="D25" s="26" t="s">
        <v>54</v>
      </c>
      <c r="E25" s="23" t="s">
        <v>5</v>
      </c>
      <c r="F25" s="24" t="s">
        <v>50</v>
      </c>
      <c r="G25" s="23"/>
      <c r="H25" s="24"/>
    </row>
    <row r="26" spans="2:8" x14ac:dyDescent="0.25">
      <c r="B26" s="65">
        <f t="shared" si="1"/>
        <v>15</v>
      </c>
      <c r="C26" s="35" t="s">
        <v>55</v>
      </c>
      <c r="D26" s="26" t="s">
        <v>56</v>
      </c>
      <c r="E26" s="23" t="s">
        <v>5</v>
      </c>
      <c r="F26" s="24" t="s">
        <v>50</v>
      </c>
      <c r="G26" s="23"/>
      <c r="H26" s="24"/>
    </row>
    <row r="27" spans="2:8" x14ac:dyDescent="0.25">
      <c r="B27" s="65">
        <f t="shared" si="1"/>
        <v>16</v>
      </c>
      <c r="C27" s="35" t="s">
        <v>57</v>
      </c>
      <c r="D27" s="26" t="s">
        <v>56</v>
      </c>
      <c r="E27" s="23" t="s">
        <v>5</v>
      </c>
      <c r="F27" s="24" t="s">
        <v>50</v>
      </c>
      <c r="G27" s="23"/>
      <c r="H27" s="24"/>
    </row>
    <row r="28" spans="2:8" ht="15" customHeight="1" x14ac:dyDescent="0.25">
      <c r="B28" s="19" t="s">
        <v>18</v>
      </c>
      <c r="C28" s="20" t="s">
        <v>58</v>
      </c>
      <c r="D28" s="11"/>
      <c r="E28" s="27" t="s">
        <v>1</v>
      </c>
      <c r="F28" s="27" t="s">
        <v>59</v>
      </c>
      <c r="G28" s="27"/>
      <c r="H28" s="27"/>
    </row>
    <row r="29" spans="2:8" ht="15" customHeight="1" x14ac:dyDescent="0.25">
      <c r="B29" s="19" t="s">
        <v>60</v>
      </c>
      <c r="C29" s="28" t="s">
        <v>61</v>
      </c>
      <c r="D29" s="29"/>
      <c r="E29" s="27" t="s">
        <v>1</v>
      </c>
      <c r="F29" s="27" t="s">
        <v>59</v>
      </c>
      <c r="G29" s="27"/>
      <c r="H29" s="27"/>
    </row>
    <row r="30" spans="2:8" ht="40.5" customHeight="1" x14ac:dyDescent="0.25">
      <c r="B30" s="19">
        <v>17</v>
      </c>
      <c r="C30" s="30" t="s">
        <v>121</v>
      </c>
      <c r="D30" s="31" t="s">
        <v>122</v>
      </c>
      <c r="E30" s="23"/>
      <c r="F30" s="24" t="s">
        <v>218</v>
      </c>
      <c r="G30" s="23"/>
      <c r="H30" s="24"/>
    </row>
    <row r="31" spans="2:8" ht="28" x14ac:dyDescent="0.25">
      <c r="B31" s="19">
        <f>B30+1</f>
        <v>18</v>
      </c>
      <c r="C31" s="30" t="s">
        <v>123</v>
      </c>
      <c r="D31" s="31" t="s">
        <v>124</v>
      </c>
      <c r="E31" s="23"/>
      <c r="F31" s="78"/>
      <c r="G31" s="23"/>
      <c r="H31" s="24"/>
    </row>
    <row r="32" spans="2:8" ht="154.5" thickBot="1" x14ac:dyDescent="0.3">
      <c r="B32" s="19">
        <f>B31+1</f>
        <v>19</v>
      </c>
      <c r="C32" s="30" t="s">
        <v>125</v>
      </c>
      <c r="D32" s="31" t="s">
        <v>126</v>
      </c>
      <c r="E32" s="23"/>
      <c r="F32" s="24" t="s">
        <v>59</v>
      </c>
      <c r="G32" s="23"/>
      <c r="H32" s="24"/>
    </row>
    <row r="33" spans="2:8" ht="28.5" thickBot="1" x14ac:dyDescent="0.3">
      <c r="B33" s="65">
        <f t="shared" ref="B33:B48" si="2">B32+1</f>
        <v>20</v>
      </c>
      <c r="C33" s="70" t="s">
        <v>127</v>
      </c>
      <c r="D33" s="71" t="s">
        <v>128</v>
      </c>
      <c r="E33" s="23" t="s">
        <v>5</v>
      </c>
      <c r="F33" s="24" t="s">
        <v>219</v>
      </c>
      <c r="G33" s="23"/>
      <c r="H33" s="24"/>
    </row>
    <row r="34" spans="2:8" ht="78.5" thickBot="1" x14ac:dyDescent="0.3">
      <c r="B34" s="19">
        <f t="shared" si="2"/>
        <v>21</v>
      </c>
      <c r="C34" s="70" t="s">
        <v>129</v>
      </c>
      <c r="D34" s="71" t="s">
        <v>130</v>
      </c>
      <c r="E34" s="23"/>
      <c r="F34" s="24" t="s">
        <v>220</v>
      </c>
      <c r="G34" s="23"/>
      <c r="H34" s="24"/>
    </row>
    <row r="35" spans="2:8" ht="65.5" thickBot="1" x14ac:dyDescent="0.3">
      <c r="B35" s="19">
        <f t="shared" si="2"/>
        <v>22</v>
      </c>
      <c r="C35" s="70" t="s">
        <v>131</v>
      </c>
      <c r="D35" s="71" t="s">
        <v>132</v>
      </c>
      <c r="E35" s="23"/>
      <c r="F35" s="24" t="s">
        <v>221</v>
      </c>
      <c r="G35" s="23"/>
      <c r="H35" s="24"/>
    </row>
    <row r="36" spans="2:8" ht="28.5" thickBot="1" x14ac:dyDescent="0.3">
      <c r="B36" s="19">
        <f t="shared" si="2"/>
        <v>23</v>
      </c>
      <c r="C36" s="70" t="s">
        <v>133</v>
      </c>
      <c r="D36" s="71" t="s">
        <v>134</v>
      </c>
      <c r="E36" s="23"/>
      <c r="F36" s="24"/>
      <c r="G36" s="23"/>
      <c r="H36" s="24"/>
    </row>
    <row r="37" spans="2:8" ht="28.5" thickBot="1" x14ac:dyDescent="0.3">
      <c r="B37" s="65">
        <f t="shared" si="2"/>
        <v>24</v>
      </c>
      <c r="C37" s="70" t="s">
        <v>135</v>
      </c>
      <c r="D37" s="71" t="s">
        <v>136</v>
      </c>
      <c r="E37" s="23" t="s">
        <v>5</v>
      </c>
      <c r="F37" s="24" t="s">
        <v>219</v>
      </c>
      <c r="G37" s="23"/>
      <c r="H37" s="24"/>
    </row>
    <row r="38" spans="2:8" ht="28.5" thickBot="1" x14ac:dyDescent="0.3">
      <c r="B38" s="19">
        <f t="shared" si="2"/>
        <v>25</v>
      </c>
      <c r="C38" s="70" t="s">
        <v>137</v>
      </c>
      <c r="D38" s="71" t="s">
        <v>138</v>
      </c>
      <c r="E38" s="23"/>
      <c r="F38" s="24" t="s">
        <v>222</v>
      </c>
      <c r="G38" s="23"/>
      <c r="H38" s="24"/>
    </row>
    <row r="39" spans="2:8" ht="42.5" thickBot="1" x14ac:dyDescent="0.3">
      <c r="B39" s="19">
        <f t="shared" si="2"/>
        <v>26</v>
      </c>
      <c r="C39" s="72" t="s">
        <v>139</v>
      </c>
      <c r="D39" s="71" t="s">
        <v>140</v>
      </c>
      <c r="E39" s="23"/>
      <c r="F39" s="24" t="s">
        <v>223</v>
      </c>
      <c r="G39" s="23"/>
      <c r="H39" s="24"/>
    </row>
    <row r="40" spans="2:8" ht="28.5" thickBot="1" x14ac:dyDescent="0.3">
      <c r="B40" s="65">
        <f t="shared" si="2"/>
        <v>27</v>
      </c>
      <c r="C40" s="72" t="s">
        <v>141</v>
      </c>
      <c r="D40" s="71" t="s">
        <v>142</v>
      </c>
      <c r="E40" s="23" t="s">
        <v>5</v>
      </c>
      <c r="F40" s="24"/>
      <c r="G40" s="23"/>
      <c r="H40" s="24"/>
    </row>
    <row r="41" spans="2:8" s="2" customFormat="1" ht="56" x14ac:dyDescent="0.25">
      <c r="B41" s="19">
        <f t="shared" si="2"/>
        <v>28</v>
      </c>
      <c r="C41" s="30" t="s">
        <v>143</v>
      </c>
      <c r="D41" s="26"/>
      <c r="E41" s="23"/>
      <c r="F41" s="24"/>
      <c r="G41" s="23"/>
      <c r="H41" s="24"/>
    </row>
    <row r="42" spans="2:8" s="2" customFormat="1" x14ac:dyDescent="0.25">
      <c r="B42" s="19">
        <f t="shared" si="2"/>
        <v>29</v>
      </c>
      <c r="C42" s="30" t="s">
        <v>63</v>
      </c>
      <c r="D42" s="31" t="s">
        <v>64</v>
      </c>
      <c r="E42" s="23"/>
      <c r="F42" s="24"/>
      <c r="G42" s="23"/>
      <c r="H42" s="24"/>
    </row>
    <row r="43" spans="2:8" s="2" customFormat="1" ht="42" x14ac:dyDescent="0.25">
      <c r="B43" s="19">
        <f t="shared" si="2"/>
        <v>30</v>
      </c>
      <c r="C43" s="73" t="s">
        <v>65</v>
      </c>
      <c r="D43" s="32" t="s">
        <v>66</v>
      </c>
      <c r="E43" s="23"/>
      <c r="F43" s="24"/>
      <c r="G43" s="23"/>
      <c r="H43" s="24"/>
    </row>
    <row r="44" spans="2:8" s="2" customFormat="1" ht="15" customHeight="1" x14ac:dyDescent="0.25">
      <c r="B44" s="65">
        <f t="shared" si="2"/>
        <v>31</v>
      </c>
      <c r="C44" s="73" t="s">
        <v>67</v>
      </c>
      <c r="D44" s="26" t="s">
        <v>68</v>
      </c>
      <c r="E44" s="23" t="s">
        <v>5</v>
      </c>
      <c r="F44" s="24"/>
      <c r="G44" s="23"/>
      <c r="H44" s="24"/>
    </row>
    <row r="45" spans="2:8" s="2" customFormat="1" ht="15" customHeight="1" x14ac:dyDescent="0.25">
      <c r="B45" s="65">
        <f t="shared" si="2"/>
        <v>32</v>
      </c>
      <c r="C45" s="73" t="s">
        <v>69</v>
      </c>
      <c r="D45" s="26" t="s">
        <v>70</v>
      </c>
      <c r="E45" s="23" t="s">
        <v>5</v>
      </c>
      <c r="F45" s="24"/>
      <c r="G45" s="23"/>
      <c r="H45" s="24"/>
    </row>
    <row r="46" spans="2:8" s="2" customFormat="1" ht="28" x14ac:dyDescent="0.25">
      <c r="B46" s="19">
        <f t="shared" si="2"/>
        <v>33</v>
      </c>
      <c r="C46" s="73" t="s">
        <v>71</v>
      </c>
      <c r="D46" s="26" t="s">
        <v>72</v>
      </c>
      <c r="E46" s="23"/>
      <c r="F46" s="24"/>
      <c r="G46" s="23"/>
      <c r="H46" s="24"/>
    </row>
    <row r="47" spans="2:8" s="2" customFormat="1" ht="42" x14ac:dyDescent="0.25">
      <c r="B47" s="19">
        <f t="shared" si="2"/>
        <v>34</v>
      </c>
      <c r="C47" s="30" t="s">
        <v>144</v>
      </c>
      <c r="D47" s="26"/>
      <c r="E47" s="23"/>
      <c r="F47" s="24"/>
      <c r="G47" s="23"/>
      <c r="H47" s="24"/>
    </row>
    <row r="48" spans="2:8" s="2" customFormat="1" ht="28" x14ac:dyDescent="0.25">
      <c r="B48" s="19">
        <f t="shared" si="2"/>
        <v>35</v>
      </c>
      <c r="C48" s="30" t="s">
        <v>73</v>
      </c>
      <c r="D48" s="26" t="s">
        <v>74</v>
      </c>
      <c r="E48" s="23"/>
      <c r="F48" s="24"/>
      <c r="G48" s="23"/>
      <c r="H48" s="24"/>
    </row>
    <row r="49" spans="2:8" s="2" customFormat="1" ht="15" customHeight="1" x14ac:dyDescent="0.25">
      <c r="B49" s="19" t="s">
        <v>60</v>
      </c>
      <c r="C49" s="33" t="s">
        <v>75</v>
      </c>
      <c r="D49" s="29"/>
      <c r="E49" s="27" t="s">
        <v>1</v>
      </c>
      <c r="F49" s="27" t="s">
        <v>59</v>
      </c>
      <c r="G49" s="27"/>
      <c r="H49" s="27"/>
    </row>
    <row r="50" spans="2:8" s="2" customFormat="1" ht="42" x14ac:dyDescent="0.25">
      <c r="B50" s="19">
        <f>B48+1</f>
        <v>36</v>
      </c>
      <c r="C50" s="30" t="s">
        <v>76</v>
      </c>
      <c r="D50" s="26" t="s">
        <v>145</v>
      </c>
      <c r="E50" s="23"/>
      <c r="F50" s="24" t="s">
        <v>224</v>
      </c>
      <c r="G50" s="23"/>
      <c r="H50" s="24"/>
    </row>
    <row r="51" spans="2:8" s="2" customFormat="1" ht="28" x14ac:dyDescent="0.25">
      <c r="B51" s="66">
        <f t="shared" ref="B51:B57" si="3">B50+1</f>
        <v>37</v>
      </c>
      <c r="C51" s="30" t="s">
        <v>77</v>
      </c>
      <c r="D51" s="26" t="s">
        <v>146</v>
      </c>
      <c r="E51" s="23" t="s">
        <v>1</v>
      </c>
      <c r="F51" s="24"/>
      <c r="G51" s="23"/>
      <c r="H51" s="24"/>
    </row>
    <row r="52" spans="2:8" s="2" customFormat="1" ht="28" x14ac:dyDescent="0.25">
      <c r="B52" s="65">
        <f t="shared" si="3"/>
        <v>38</v>
      </c>
      <c r="C52" s="35" t="s">
        <v>78</v>
      </c>
      <c r="D52" s="26" t="s">
        <v>79</v>
      </c>
      <c r="E52" s="23" t="s">
        <v>5</v>
      </c>
      <c r="F52" s="24" t="s">
        <v>80</v>
      </c>
      <c r="G52" s="23"/>
      <c r="H52" s="24"/>
    </row>
    <row r="53" spans="2:8" s="2" customFormat="1" ht="28" x14ac:dyDescent="0.25">
      <c r="B53" s="66">
        <f t="shared" si="3"/>
        <v>39</v>
      </c>
      <c r="C53" s="35" t="s">
        <v>81</v>
      </c>
      <c r="D53" s="26" t="s">
        <v>82</v>
      </c>
      <c r="E53" s="23" t="s">
        <v>1</v>
      </c>
      <c r="F53" s="34">
        <v>7444528</v>
      </c>
      <c r="G53" s="23"/>
      <c r="H53" s="24"/>
    </row>
    <row r="54" spans="2:8" s="2" customFormat="1" ht="28" x14ac:dyDescent="0.25">
      <c r="B54" s="66">
        <f t="shared" si="3"/>
        <v>40</v>
      </c>
      <c r="C54" s="74" t="s">
        <v>147</v>
      </c>
      <c r="D54" s="26" t="s">
        <v>83</v>
      </c>
      <c r="E54" s="23" t="s">
        <v>1</v>
      </c>
      <c r="F54" s="24"/>
      <c r="G54" s="23"/>
      <c r="H54" s="24"/>
    </row>
    <row r="55" spans="2:8" s="2" customFormat="1" ht="42" x14ac:dyDescent="0.25">
      <c r="B55" s="65">
        <f t="shared" si="3"/>
        <v>41</v>
      </c>
      <c r="C55" s="69" t="s">
        <v>84</v>
      </c>
      <c r="D55" s="26" t="s">
        <v>85</v>
      </c>
      <c r="E55" s="23" t="s">
        <v>5</v>
      </c>
      <c r="F55" s="24" t="s">
        <v>86</v>
      </c>
      <c r="G55" s="23"/>
      <c r="H55" s="24"/>
    </row>
    <row r="56" spans="2:8" s="2" customFormat="1" ht="28" x14ac:dyDescent="0.25">
      <c r="B56" s="65">
        <f t="shared" si="3"/>
        <v>42</v>
      </c>
      <c r="C56" s="35" t="s">
        <v>87</v>
      </c>
      <c r="D56" s="26" t="s">
        <v>88</v>
      </c>
      <c r="E56" s="23" t="s">
        <v>5</v>
      </c>
      <c r="F56" s="24" t="s">
        <v>86</v>
      </c>
      <c r="G56" s="23"/>
      <c r="H56" s="24"/>
    </row>
    <row r="57" spans="2:8" s="2" customFormat="1" ht="70" x14ac:dyDescent="0.25">
      <c r="B57" s="66">
        <f t="shared" si="3"/>
        <v>43</v>
      </c>
      <c r="C57" s="75" t="s">
        <v>148</v>
      </c>
      <c r="D57" s="26" t="s">
        <v>89</v>
      </c>
      <c r="E57" s="23" t="s">
        <v>1</v>
      </c>
      <c r="F57" s="24"/>
      <c r="G57" s="23"/>
      <c r="H57" s="24"/>
    </row>
    <row r="58" spans="2:8" s="2" customFormat="1" ht="15" customHeight="1" x14ac:dyDescent="0.25">
      <c r="B58" s="19" t="s">
        <v>60</v>
      </c>
      <c r="C58" s="33" t="s">
        <v>90</v>
      </c>
      <c r="D58" s="29"/>
      <c r="E58" s="27" t="s">
        <v>1</v>
      </c>
      <c r="F58" s="27" t="s">
        <v>59</v>
      </c>
      <c r="G58" s="27"/>
      <c r="H58" s="27"/>
    </row>
    <row r="59" spans="2:8" s="2" customFormat="1" ht="28" x14ac:dyDescent="0.25">
      <c r="B59" s="19">
        <f>B57+1</f>
        <v>44</v>
      </c>
      <c r="C59" s="35" t="s">
        <v>149</v>
      </c>
      <c r="D59" s="26" t="s">
        <v>91</v>
      </c>
      <c r="E59" s="23"/>
      <c r="F59" s="24" t="s">
        <v>225</v>
      </c>
      <c r="G59" s="23"/>
      <c r="H59" s="24"/>
    </row>
    <row r="60" spans="2:8" s="2" customFormat="1" ht="29" customHeight="1" x14ac:dyDescent="0.25">
      <c r="B60" s="66">
        <f t="shared" ref="B60:B62" si="4">B59+1</f>
        <v>45</v>
      </c>
      <c r="C60" s="69" t="s">
        <v>92</v>
      </c>
      <c r="D60" s="26" t="s">
        <v>93</v>
      </c>
      <c r="E60" s="23" t="s">
        <v>1</v>
      </c>
      <c r="F60" s="24" t="s">
        <v>225</v>
      </c>
      <c r="G60" s="23"/>
      <c r="H60" s="24"/>
    </row>
    <row r="61" spans="2:8" s="2" customFormat="1" ht="42" x14ac:dyDescent="0.25">
      <c r="B61" s="19">
        <f t="shared" si="4"/>
        <v>46</v>
      </c>
      <c r="C61" s="35" t="s">
        <v>95</v>
      </c>
      <c r="D61" s="26" t="s">
        <v>150</v>
      </c>
      <c r="E61" s="23"/>
      <c r="F61" s="24" t="s">
        <v>225</v>
      </c>
      <c r="G61" s="23"/>
      <c r="H61" s="24"/>
    </row>
    <row r="62" spans="2:8" s="2" customFormat="1" ht="31.5" customHeight="1" x14ac:dyDescent="0.25">
      <c r="B62" s="19">
        <f t="shared" si="4"/>
        <v>47</v>
      </c>
      <c r="C62" s="69" t="s">
        <v>151</v>
      </c>
      <c r="D62" s="26" t="s">
        <v>152</v>
      </c>
      <c r="E62" s="23"/>
      <c r="F62" s="24" t="s">
        <v>226</v>
      </c>
      <c r="G62" s="23"/>
      <c r="H62" s="24"/>
    </row>
    <row r="63" spans="2:8" s="2" customFormat="1" x14ac:dyDescent="0.25">
      <c r="B63" s="19" t="s">
        <v>18</v>
      </c>
      <c r="C63" s="20" t="s">
        <v>96</v>
      </c>
      <c r="D63" s="11" t="s">
        <v>20</v>
      </c>
      <c r="E63" s="27" t="s">
        <v>1</v>
      </c>
      <c r="F63" s="27" t="s">
        <v>59</v>
      </c>
      <c r="G63" s="27"/>
      <c r="H63" s="27"/>
    </row>
    <row r="64" spans="2:8" s="2" customFormat="1" ht="98" x14ac:dyDescent="0.25">
      <c r="B64" s="66">
        <f>B62+1</f>
        <v>48</v>
      </c>
      <c r="C64" s="35" t="s">
        <v>153</v>
      </c>
      <c r="D64" s="36" t="s">
        <v>97</v>
      </c>
      <c r="E64" s="23" t="s">
        <v>1</v>
      </c>
      <c r="F64" s="24" t="s">
        <v>225</v>
      </c>
      <c r="G64" s="23"/>
      <c r="H64" s="24"/>
    </row>
    <row r="65" spans="2:8" s="2" customFormat="1" x14ac:dyDescent="0.25">
      <c r="B65" s="65">
        <f>B64+1</f>
        <v>49</v>
      </c>
      <c r="C65" s="30" t="s">
        <v>154</v>
      </c>
      <c r="D65" s="37" t="s">
        <v>155</v>
      </c>
      <c r="E65" s="23" t="s">
        <v>5</v>
      </c>
      <c r="F65" s="24"/>
      <c r="G65" s="23"/>
      <c r="H65" s="24"/>
    </row>
    <row r="66" spans="2:8" s="2" customFormat="1" ht="28" x14ac:dyDescent="0.25">
      <c r="B66" s="19">
        <f t="shared" ref="B66:B81" si="5">B65+1</f>
        <v>50</v>
      </c>
      <c r="C66" s="30" t="s">
        <v>156</v>
      </c>
      <c r="D66" s="37" t="s">
        <v>155</v>
      </c>
      <c r="E66" s="23"/>
      <c r="F66" s="24" t="s">
        <v>225</v>
      </c>
      <c r="G66" s="23"/>
      <c r="H66" s="24"/>
    </row>
    <row r="67" spans="2:8" s="2" customFormat="1" ht="56" x14ac:dyDescent="0.25">
      <c r="B67" s="19">
        <f t="shared" si="5"/>
        <v>51</v>
      </c>
      <c r="C67" s="57" t="s">
        <v>157</v>
      </c>
      <c r="D67" s="26" t="s">
        <v>158</v>
      </c>
      <c r="E67" s="23"/>
      <c r="F67" s="24" t="s">
        <v>225</v>
      </c>
      <c r="G67" s="23"/>
      <c r="H67" s="24"/>
    </row>
    <row r="68" spans="2:8" s="2" customFormat="1" x14ac:dyDescent="0.25">
      <c r="B68" s="19">
        <f t="shared" si="5"/>
        <v>52</v>
      </c>
      <c r="C68" s="76" t="s">
        <v>159</v>
      </c>
      <c r="D68" s="26" t="s">
        <v>62</v>
      </c>
      <c r="E68" s="23"/>
      <c r="F68" s="24" t="s">
        <v>225</v>
      </c>
      <c r="G68" s="23"/>
      <c r="H68" s="24"/>
    </row>
    <row r="69" spans="2:8" s="2" customFormat="1" x14ac:dyDescent="0.25">
      <c r="B69" s="19">
        <f t="shared" si="5"/>
        <v>53</v>
      </c>
      <c r="C69" s="76" t="s">
        <v>160</v>
      </c>
      <c r="D69" s="26" t="s">
        <v>62</v>
      </c>
      <c r="E69" s="23"/>
      <c r="F69" s="24" t="s">
        <v>225</v>
      </c>
      <c r="G69" s="23"/>
      <c r="H69" s="24"/>
    </row>
    <row r="70" spans="2:8" s="2" customFormat="1" ht="28" x14ac:dyDescent="0.25">
      <c r="B70" s="19">
        <f t="shared" si="5"/>
        <v>54</v>
      </c>
      <c r="C70" s="76" t="s">
        <v>161</v>
      </c>
      <c r="D70" s="26" t="s">
        <v>98</v>
      </c>
      <c r="E70" s="23"/>
      <c r="F70" s="24" t="s">
        <v>225</v>
      </c>
      <c r="G70" s="23"/>
      <c r="H70" s="24"/>
    </row>
    <row r="71" spans="2:8" s="2" customFormat="1" ht="28" x14ac:dyDescent="0.25">
      <c r="B71" s="19">
        <f t="shared" si="5"/>
        <v>55</v>
      </c>
      <c r="C71" s="76" t="s">
        <v>162</v>
      </c>
      <c r="D71" s="26" t="s">
        <v>99</v>
      </c>
      <c r="E71" s="23"/>
      <c r="F71" s="24" t="s">
        <v>225</v>
      </c>
      <c r="G71" s="23"/>
      <c r="H71" s="24"/>
    </row>
    <row r="72" spans="2:8" s="2" customFormat="1" ht="56" x14ac:dyDescent="0.25">
      <c r="B72" s="65">
        <f t="shared" si="5"/>
        <v>56</v>
      </c>
      <c r="C72" s="57" t="s">
        <v>163</v>
      </c>
      <c r="D72" s="26" t="s">
        <v>158</v>
      </c>
      <c r="E72" s="23" t="s">
        <v>5</v>
      </c>
      <c r="F72" s="24" t="s">
        <v>227</v>
      </c>
      <c r="G72" s="23"/>
      <c r="H72" s="24"/>
    </row>
    <row r="73" spans="2:8" s="2" customFormat="1" x14ac:dyDescent="0.25">
      <c r="B73" s="65">
        <f t="shared" si="5"/>
        <v>57</v>
      </c>
      <c r="C73" s="76" t="s">
        <v>159</v>
      </c>
      <c r="D73" s="26" t="s">
        <v>62</v>
      </c>
      <c r="E73" s="23" t="s">
        <v>5</v>
      </c>
      <c r="F73" s="24" t="s">
        <v>227</v>
      </c>
      <c r="G73" s="23"/>
      <c r="H73" s="24"/>
    </row>
    <row r="74" spans="2:8" s="2" customFormat="1" x14ac:dyDescent="0.25">
      <c r="B74" s="65">
        <f t="shared" si="5"/>
        <v>58</v>
      </c>
      <c r="C74" s="76" t="s">
        <v>160</v>
      </c>
      <c r="D74" s="26" t="s">
        <v>62</v>
      </c>
      <c r="E74" s="23" t="s">
        <v>5</v>
      </c>
      <c r="F74" s="24" t="s">
        <v>227</v>
      </c>
      <c r="G74" s="23"/>
      <c r="H74" s="24"/>
    </row>
    <row r="75" spans="2:8" s="2" customFormat="1" ht="28" x14ac:dyDescent="0.25">
      <c r="B75" s="65">
        <f t="shared" si="5"/>
        <v>59</v>
      </c>
      <c r="C75" s="76" t="s">
        <v>161</v>
      </c>
      <c r="D75" s="26" t="s">
        <v>98</v>
      </c>
      <c r="E75" s="23" t="s">
        <v>5</v>
      </c>
      <c r="F75" s="24" t="s">
        <v>227</v>
      </c>
      <c r="G75" s="23"/>
      <c r="H75" s="24"/>
    </row>
    <row r="76" spans="2:8" s="2" customFormat="1" ht="28" x14ac:dyDescent="0.25">
      <c r="B76" s="65">
        <f t="shared" si="5"/>
        <v>60</v>
      </c>
      <c r="C76" s="76" t="s">
        <v>162</v>
      </c>
      <c r="D76" s="26" t="s">
        <v>99</v>
      </c>
      <c r="E76" s="23" t="s">
        <v>5</v>
      </c>
      <c r="F76" s="24" t="s">
        <v>227</v>
      </c>
      <c r="G76" s="23"/>
      <c r="H76" s="24"/>
    </row>
    <row r="77" spans="2:8" s="2" customFormat="1" ht="28" x14ac:dyDescent="0.25">
      <c r="B77" s="65">
        <f t="shared" si="5"/>
        <v>61</v>
      </c>
      <c r="C77" s="57" t="s">
        <v>164</v>
      </c>
      <c r="D77" s="26" t="s">
        <v>165</v>
      </c>
      <c r="E77" s="23" t="s">
        <v>5</v>
      </c>
      <c r="F77" s="24" t="s">
        <v>227</v>
      </c>
      <c r="G77" s="23"/>
      <c r="H77" s="24"/>
    </row>
    <row r="78" spans="2:8" s="2" customFormat="1" x14ac:dyDescent="0.25">
      <c r="B78" s="65">
        <f t="shared" si="5"/>
        <v>62</v>
      </c>
      <c r="C78" s="76" t="s">
        <v>159</v>
      </c>
      <c r="D78" s="26" t="s">
        <v>62</v>
      </c>
      <c r="E78" s="23" t="s">
        <v>5</v>
      </c>
      <c r="F78" s="24" t="s">
        <v>227</v>
      </c>
      <c r="G78" s="23"/>
      <c r="H78" s="24"/>
    </row>
    <row r="79" spans="2:8" s="2" customFormat="1" x14ac:dyDescent="0.25">
      <c r="B79" s="65">
        <f t="shared" si="5"/>
        <v>63</v>
      </c>
      <c r="C79" s="76" t="s">
        <v>160</v>
      </c>
      <c r="D79" s="26" t="s">
        <v>62</v>
      </c>
      <c r="E79" s="23" t="s">
        <v>5</v>
      </c>
      <c r="F79" s="24" t="s">
        <v>227</v>
      </c>
      <c r="G79" s="23"/>
      <c r="H79" s="24"/>
    </row>
    <row r="80" spans="2:8" s="2" customFormat="1" ht="28" x14ac:dyDescent="0.25">
      <c r="B80" s="65">
        <f t="shared" si="5"/>
        <v>64</v>
      </c>
      <c r="C80" s="76" t="s">
        <v>161</v>
      </c>
      <c r="D80" s="26" t="s">
        <v>98</v>
      </c>
      <c r="E80" s="23" t="s">
        <v>5</v>
      </c>
      <c r="F80" s="24" t="s">
        <v>227</v>
      </c>
      <c r="G80" s="23"/>
      <c r="H80" s="24"/>
    </row>
    <row r="81" spans="2:29" s="2" customFormat="1" ht="28" x14ac:dyDescent="0.25">
      <c r="B81" s="65">
        <f t="shared" si="5"/>
        <v>65</v>
      </c>
      <c r="C81" s="76" t="s">
        <v>162</v>
      </c>
      <c r="D81" s="26" t="s">
        <v>99</v>
      </c>
      <c r="E81" s="23" t="s">
        <v>5</v>
      </c>
      <c r="F81" s="24" t="s">
        <v>227</v>
      </c>
      <c r="G81" s="23"/>
      <c r="H81" s="24"/>
    </row>
    <row r="82" spans="2:29" s="2" customFormat="1" x14ac:dyDescent="0.25">
      <c r="B82" s="19" t="s">
        <v>18</v>
      </c>
      <c r="C82" s="58" t="s">
        <v>100</v>
      </c>
      <c r="D82" s="11" t="s">
        <v>20</v>
      </c>
      <c r="E82" s="27" t="s">
        <v>1</v>
      </c>
      <c r="F82" s="27" t="s">
        <v>59</v>
      </c>
      <c r="G82" s="27"/>
      <c r="H82" s="27"/>
    </row>
    <row r="83" spans="2:29" s="2" customFormat="1" ht="42" x14ac:dyDescent="0.25">
      <c r="B83" s="66">
        <f>B81+1</f>
        <v>66</v>
      </c>
      <c r="C83" s="77" t="s">
        <v>166</v>
      </c>
      <c r="D83" s="31" t="s">
        <v>101</v>
      </c>
      <c r="E83" s="23" t="s">
        <v>1</v>
      </c>
      <c r="F83" s="24"/>
      <c r="G83" s="23"/>
      <c r="H83" s="24"/>
    </row>
    <row r="84" spans="2:29" s="2" customFormat="1" ht="28" x14ac:dyDescent="0.25">
      <c r="B84" s="66">
        <f>B83+1</f>
        <v>67</v>
      </c>
      <c r="C84" s="30" t="s">
        <v>167</v>
      </c>
      <c r="D84" s="38" t="s">
        <v>168</v>
      </c>
      <c r="E84" s="23" t="s">
        <v>1</v>
      </c>
      <c r="F84" s="24" t="s">
        <v>226</v>
      </c>
      <c r="G84" s="23"/>
      <c r="H84" s="24"/>
    </row>
    <row r="85" spans="2:29" s="2" customFormat="1" x14ac:dyDescent="0.25">
      <c r="B85" s="66">
        <f t="shared" ref="B85:B119" si="6">B84+1</f>
        <v>68</v>
      </c>
      <c r="C85" s="76" t="s">
        <v>169</v>
      </c>
      <c r="D85" s="31" t="s">
        <v>62</v>
      </c>
      <c r="E85" s="23" t="s">
        <v>1</v>
      </c>
      <c r="F85" s="24"/>
      <c r="G85" s="23"/>
      <c r="H85" s="24"/>
    </row>
    <row r="86" spans="2:29" s="2" customFormat="1" x14ac:dyDescent="0.25">
      <c r="B86" s="66">
        <f t="shared" si="6"/>
        <v>69</v>
      </c>
      <c r="C86" s="76" t="s">
        <v>170</v>
      </c>
      <c r="D86" s="31" t="s">
        <v>62</v>
      </c>
      <c r="E86" s="23" t="s">
        <v>1</v>
      </c>
      <c r="F86" s="24"/>
      <c r="G86" s="23"/>
      <c r="H86" s="24"/>
    </row>
    <row r="87" spans="2:29" s="2" customFormat="1" x14ac:dyDescent="0.25">
      <c r="B87" s="66">
        <f t="shared" si="6"/>
        <v>70</v>
      </c>
      <c r="C87" s="76" t="s">
        <v>171</v>
      </c>
      <c r="D87" s="31" t="s">
        <v>83</v>
      </c>
      <c r="E87" s="23" t="s">
        <v>1</v>
      </c>
      <c r="F87" s="24"/>
      <c r="G87" s="23"/>
      <c r="H87" s="24"/>
    </row>
    <row r="88" spans="2:29" s="2" customFormat="1" x14ac:dyDescent="0.25">
      <c r="B88" s="66">
        <f t="shared" si="6"/>
        <v>71</v>
      </c>
      <c r="C88" s="76" t="s">
        <v>172</v>
      </c>
      <c r="D88" s="31" t="s">
        <v>102</v>
      </c>
      <c r="E88" s="23" t="s">
        <v>1</v>
      </c>
      <c r="F88" s="24"/>
      <c r="G88" s="23"/>
      <c r="H88" s="24"/>
    </row>
    <row r="89" spans="2:29" s="2" customFormat="1" ht="28" x14ac:dyDescent="0.25">
      <c r="B89" s="66">
        <f t="shared" si="6"/>
        <v>72</v>
      </c>
      <c r="C89" s="76" t="s">
        <v>173</v>
      </c>
      <c r="D89" s="31"/>
      <c r="E89" s="23" t="s">
        <v>1</v>
      </c>
      <c r="F89" s="24"/>
      <c r="G89" s="23"/>
      <c r="H89" s="24"/>
      <c r="I89" s="39"/>
      <c r="J89" s="39"/>
      <c r="K89" s="39"/>
      <c r="L89" s="39"/>
      <c r="M89" s="39"/>
      <c r="N89" s="39"/>
      <c r="O89" s="39"/>
      <c r="P89" s="39"/>
      <c r="Q89" s="39"/>
      <c r="R89" s="39"/>
      <c r="S89" s="39"/>
      <c r="T89" s="39"/>
      <c r="U89" s="39"/>
      <c r="V89" s="39"/>
      <c r="W89" s="39"/>
      <c r="X89" s="39"/>
      <c r="Y89" s="39"/>
      <c r="Z89" s="39"/>
      <c r="AA89" s="39"/>
      <c r="AB89" s="39"/>
      <c r="AC89" s="39"/>
    </row>
    <row r="90" spans="2:29" s="2" customFormat="1" ht="28" x14ac:dyDescent="0.25">
      <c r="B90" s="65">
        <f t="shared" si="6"/>
        <v>73</v>
      </c>
      <c r="C90" s="30" t="s">
        <v>174</v>
      </c>
      <c r="D90" s="38" t="s">
        <v>175</v>
      </c>
      <c r="E90" s="23" t="s">
        <v>5</v>
      </c>
      <c r="F90" s="24"/>
      <c r="G90" s="23"/>
      <c r="H90" s="24"/>
    </row>
    <row r="91" spans="2:29" s="2" customFormat="1" x14ac:dyDescent="0.25">
      <c r="B91" s="65">
        <f t="shared" si="6"/>
        <v>74</v>
      </c>
      <c r="C91" s="76" t="s">
        <v>169</v>
      </c>
      <c r="D91" s="26" t="s">
        <v>62</v>
      </c>
      <c r="E91" s="23" t="s">
        <v>5</v>
      </c>
      <c r="F91" s="24"/>
      <c r="G91" s="23"/>
      <c r="H91" s="24"/>
    </row>
    <row r="92" spans="2:29" s="2" customFormat="1" x14ac:dyDescent="0.25">
      <c r="B92" s="65">
        <f t="shared" si="6"/>
        <v>75</v>
      </c>
      <c r="C92" s="76" t="s">
        <v>170</v>
      </c>
      <c r="D92" s="26" t="s">
        <v>62</v>
      </c>
      <c r="E92" s="23" t="s">
        <v>5</v>
      </c>
      <c r="F92" s="24"/>
      <c r="G92" s="23"/>
      <c r="H92" s="24"/>
    </row>
    <row r="93" spans="2:29" s="2" customFormat="1" x14ac:dyDescent="0.25">
      <c r="B93" s="65">
        <f t="shared" si="6"/>
        <v>76</v>
      </c>
      <c r="C93" s="76" t="s">
        <v>171</v>
      </c>
      <c r="D93" s="26" t="s">
        <v>83</v>
      </c>
      <c r="E93" s="23" t="s">
        <v>5</v>
      </c>
      <c r="F93" s="24"/>
      <c r="G93" s="23"/>
      <c r="H93" s="24"/>
    </row>
    <row r="94" spans="2:29" s="2" customFormat="1" x14ac:dyDescent="0.25">
      <c r="B94" s="65">
        <f t="shared" si="6"/>
        <v>77</v>
      </c>
      <c r="C94" s="76" t="s">
        <v>172</v>
      </c>
      <c r="D94" s="26" t="s">
        <v>102</v>
      </c>
      <c r="E94" s="23" t="s">
        <v>5</v>
      </c>
      <c r="F94" s="24"/>
      <c r="G94" s="23"/>
      <c r="H94" s="24"/>
    </row>
    <row r="95" spans="2:29" s="2" customFormat="1" ht="28" x14ac:dyDescent="0.25">
      <c r="B95" s="65">
        <f t="shared" si="6"/>
        <v>78</v>
      </c>
      <c r="C95" s="76" t="s">
        <v>173</v>
      </c>
      <c r="D95" s="26"/>
      <c r="E95" s="23" t="s">
        <v>5</v>
      </c>
      <c r="F95" s="24"/>
      <c r="G95" s="23"/>
      <c r="H95" s="24"/>
      <c r="I95" s="39"/>
      <c r="J95" s="39"/>
      <c r="K95" s="39"/>
      <c r="L95" s="39"/>
      <c r="M95" s="39"/>
      <c r="N95" s="39"/>
      <c r="O95" s="39"/>
      <c r="P95" s="39"/>
      <c r="Q95" s="39"/>
      <c r="R95" s="39"/>
      <c r="S95" s="39"/>
      <c r="T95" s="39"/>
      <c r="U95" s="39"/>
      <c r="V95" s="39"/>
      <c r="W95" s="39"/>
      <c r="X95" s="39"/>
      <c r="Y95" s="39"/>
      <c r="Z95" s="39"/>
      <c r="AA95" s="39"/>
      <c r="AB95" s="39"/>
      <c r="AC95" s="39"/>
    </row>
    <row r="96" spans="2:29" s="2" customFormat="1" ht="28" x14ac:dyDescent="0.25">
      <c r="B96" s="65">
        <f>B95+1</f>
        <v>79</v>
      </c>
      <c r="C96" s="30" t="s">
        <v>176</v>
      </c>
      <c r="D96" s="38" t="s">
        <v>177</v>
      </c>
      <c r="E96" s="23" t="s">
        <v>5</v>
      </c>
      <c r="F96" s="24"/>
      <c r="G96" s="23"/>
      <c r="H96" s="24"/>
    </row>
    <row r="97" spans="2:29" s="2" customFormat="1" x14ac:dyDescent="0.25">
      <c r="B97" s="65">
        <f t="shared" si="6"/>
        <v>80</v>
      </c>
      <c r="C97" s="76" t="s">
        <v>169</v>
      </c>
      <c r="D97" s="31" t="s">
        <v>62</v>
      </c>
      <c r="E97" s="23" t="s">
        <v>5</v>
      </c>
      <c r="F97" s="24"/>
      <c r="G97" s="23"/>
      <c r="H97" s="24"/>
    </row>
    <row r="98" spans="2:29" s="2" customFormat="1" x14ac:dyDescent="0.25">
      <c r="B98" s="65">
        <f t="shared" si="6"/>
        <v>81</v>
      </c>
      <c r="C98" s="76" t="s">
        <v>170</v>
      </c>
      <c r="D98" s="31" t="s">
        <v>62</v>
      </c>
      <c r="E98" s="23" t="s">
        <v>5</v>
      </c>
      <c r="F98" s="24"/>
      <c r="G98" s="23"/>
      <c r="H98" s="24"/>
    </row>
    <row r="99" spans="2:29" s="2" customFormat="1" x14ac:dyDescent="0.25">
      <c r="B99" s="65">
        <f t="shared" si="6"/>
        <v>82</v>
      </c>
      <c r="C99" s="76" t="s">
        <v>171</v>
      </c>
      <c r="D99" s="31" t="s">
        <v>83</v>
      </c>
      <c r="E99" s="23" t="s">
        <v>5</v>
      </c>
      <c r="F99" s="24"/>
      <c r="G99" s="23"/>
      <c r="H99" s="24"/>
    </row>
    <row r="100" spans="2:29" s="2" customFormat="1" x14ac:dyDescent="0.25">
      <c r="B100" s="65">
        <f t="shared" si="6"/>
        <v>83</v>
      </c>
      <c r="C100" s="76" t="s">
        <v>172</v>
      </c>
      <c r="D100" s="31" t="s">
        <v>102</v>
      </c>
      <c r="E100" s="23" t="s">
        <v>5</v>
      </c>
      <c r="F100" s="24"/>
      <c r="G100" s="23"/>
      <c r="H100" s="24"/>
    </row>
    <row r="101" spans="2:29" s="2" customFormat="1" ht="28" x14ac:dyDescent="0.25">
      <c r="B101" s="65">
        <f t="shared" si="6"/>
        <v>84</v>
      </c>
      <c r="C101" s="76" t="s">
        <v>173</v>
      </c>
      <c r="D101" s="31"/>
      <c r="E101" s="23" t="s">
        <v>5</v>
      </c>
      <c r="F101" s="24"/>
      <c r="G101" s="23"/>
      <c r="H101" s="24"/>
      <c r="I101" s="39"/>
      <c r="J101" s="39"/>
      <c r="K101" s="39"/>
      <c r="L101" s="39"/>
      <c r="M101" s="39"/>
      <c r="N101" s="39"/>
      <c r="O101" s="39"/>
      <c r="P101" s="39"/>
      <c r="Q101" s="39"/>
      <c r="R101" s="39"/>
      <c r="S101" s="39"/>
      <c r="T101" s="39"/>
      <c r="U101" s="39"/>
      <c r="V101" s="39"/>
      <c r="W101" s="39"/>
      <c r="X101" s="39"/>
      <c r="Y101" s="39"/>
      <c r="Z101" s="39"/>
      <c r="AA101" s="39"/>
      <c r="AB101" s="39"/>
      <c r="AC101" s="39"/>
    </row>
    <row r="102" spans="2:29" s="2" customFormat="1" x14ac:dyDescent="0.25">
      <c r="B102" s="65">
        <f t="shared" si="6"/>
        <v>85</v>
      </c>
      <c r="C102" s="30" t="s">
        <v>178</v>
      </c>
      <c r="D102" s="38" t="s">
        <v>179</v>
      </c>
      <c r="E102" s="23" t="s">
        <v>5</v>
      </c>
      <c r="F102" s="24"/>
      <c r="G102" s="23"/>
      <c r="H102" s="24"/>
    </row>
    <row r="103" spans="2:29" s="2" customFormat="1" x14ac:dyDescent="0.25">
      <c r="B103" s="65">
        <f t="shared" si="6"/>
        <v>86</v>
      </c>
      <c r="C103" s="76" t="s">
        <v>169</v>
      </c>
      <c r="D103" s="26" t="s">
        <v>62</v>
      </c>
      <c r="E103" s="23" t="s">
        <v>5</v>
      </c>
      <c r="F103" s="24"/>
      <c r="G103" s="23"/>
      <c r="H103" s="24"/>
    </row>
    <row r="104" spans="2:29" s="2" customFormat="1" x14ac:dyDescent="0.25">
      <c r="B104" s="65">
        <f t="shared" si="6"/>
        <v>87</v>
      </c>
      <c r="C104" s="76" t="s">
        <v>170</v>
      </c>
      <c r="D104" s="26" t="s">
        <v>62</v>
      </c>
      <c r="E104" s="23" t="s">
        <v>5</v>
      </c>
      <c r="F104" s="24"/>
      <c r="G104" s="23"/>
      <c r="H104" s="24"/>
    </row>
    <row r="105" spans="2:29" s="2" customFormat="1" x14ac:dyDescent="0.25">
      <c r="B105" s="65">
        <f t="shared" si="6"/>
        <v>88</v>
      </c>
      <c r="C105" s="76" t="s">
        <v>171</v>
      </c>
      <c r="D105" s="26" t="s">
        <v>83</v>
      </c>
      <c r="E105" s="23" t="s">
        <v>5</v>
      </c>
      <c r="F105" s="24"/>
      <c r="G105" s="23"/>
      <c r="H105" s="24"/>
    </row>
    <row r="106" spans="2:29" s="2" customFormat="1" x14ac:dyDescent="0.25">
      <c r="B106" s="65">
        <f t="shared" si="6"/>
        <v>89</v>
      </c>
      <c r="C106" s="76" t="s">
        <v>172</v>
      </c>
      <c r="D106" s="26" t="s">
        <v>102</v>
      </c>
      <c r="E106" s="23" t="s">
        <v>5</v>
      </c>
      <c r="F106" s="24"/>
      <c r="G106" s="23"/>
      <c r="H106" s="24"/>
    </row>
    <row r="107" spans="2:29" s="2" customFormat="1" ht="28" x14ac:dyDescent="0.25">
      <c r="B107" s="65">
        <f t="shared" si="6"/>
        <v>90</v>
      </c>
      <c r="C107" s="76" t="s">
        <v>173</v>
      </c>
      <c r="D107" s="26"/>
      <c r="E107" s="23" t="s">
        <v>5</v>
      </c>
      <c r="F107" s="24"/>
      <c r="G107" s="23"/>
      <c r="H107" s="24"/>
      <c r="I107" s="39"/>
      <c r="J107" s="39"/>
      <c r="K107" s="39"/>
      <c r="L107" s="39"/>
      <c r="M107" s="39"/>
      <c r="N107" s="39"/>
      <c r="O107" s="39"/>
      <c r="P107" s="39"/>
      <c r="Q107" s="39"/>
      <c r="R107" s="39"/>
      <c r="S107" s="39"/>
      <c r="T107" s="39"/>
      <c r="U107" s="39"/>
      <c r="V107" s="39"/>
      <c r="W107" s="39"/>
      <c r="X107" s="39"/>
      <c r="Y107" s="39"/>
      <c r="Z107" s="39"/>
      <c r="AA107" s="39"/>
      <c r="AB107" s="39"/>
      <c r="AC107" s="39"/>
    </row>
    <row r="108" spans="2:29" s="2" customFormat="1" ht="28" x14ac:dyDescent="0.25">
      <c r="B108" s="65">
        <f t="shared" si="6"/>
        <v>91</v>
      </c>
      <c r="C108" s="30" t="s">
        <v>180</v>
      </c>
      <c r="D108" s="38" t="s">
        <v>181</v>
      </c>
      <c r="E108" s="23" t="s">
        <v>5</v>
      </c>
      <c r="F108" s="24"/>
      <c r="G108" s="23"/>
      <c r="H108" s="24"/>
    </row>
    <row r="109" spans="2:29" s="2" customFormat="1" x14ac:dyDescent="0.25">
      <c r="B109" s="65">
        <f t="shared" si="6"/>
        <v>92</v>
      </c>
      <c r="C109" s="76" t="s">
        <v>169</v>
      </c>
      <c r="D109" s="26" t="s">
        <v>62</v>
      </c>
      <c r="E109" s="23" t="s">
        <v>5</v>
      </c>
      <c r="F109" s="24"/>
      <c r="G109" s="23"/>
      <c r="H109" s="24"/>
    </row>
    <row r="110" spans="2:29" s="2" customFormat="1" x14ac:dyDescent="0.25">
      <c r="B110" s="65">
        <f t="shared" si="6"/>
        <v>93</v>
      </c>
      <c r="C110" s="76" t="s">
        <v>170</v>
      </c>
      <c r="D110" s="26" t="s">
        <v>62</v>
      </c>
      <c r="E110" s="23" t="s">
        <v>5</v>
      </c>
      <c r="F110" s="24"/>
      <c r="G110" s="23"/>
      <c r="H110" s="24"/>
    </row>
    <row r="111" spans="2:29" s="2" customFormat="1" x14ac:dyDescent="0.25">
      <c r="B111" s="65">
        <f t="shared" si="6"/>
        <v>94</v>
      </c>
      <c r="C111" s="76" t="s">
        <v>171</v>
      </c>
      <c r="D111" s="26" t="s">
        <v>83</v>
      </c>
      <c r="E111" s="23" t="s">
        <v>5</v>
      </c>
      <c r="F111" s="24"/>
      <c r="G111" s="23"/>
      <c r="H111" s="24"/>
    </row>
    <row r="112" spans="2:29" s="2" customFormat="1" x14ac:dyDescent="0.25">
      <c r="B112" s="65">
        <f t="shared" si="6"/>
        <v>95</v>
      </c>
      <c r="C112" s="76" t="s">
        <v>172</v>
      </c>
      <c r="D112" s="26" t="s">
        <v>102</v>
      </c>
      <c r="E112" s="23" t="s">
        <v>5</v>
      </c>
      <c r="F112" s="24"/>
      <c r="G112" s="23"/>
      <c r="H112" s="24"/>
    </row>
    <row r="113" spans="2:29" s="2" customFormat="1" ht="28" x14ac:dyDescent="0.25">
      <c r="B113" s="65">
        <f t="shared" si="6"/>
        <v>96</v>
      </c>
      <c r="C113" s="76" t="s">
        <v>173</v>
      </c>
      <c r="D113" s="26"/>
      <c r="E113" s="23" t="s">
        <v>5</v>
      </c>
      <c r="F113" s="24"/>
      <c r="G113" s="23"/>
      <c r="H113" s="24"/>
      <c r="I113" s="39"/>
      <c r="J113" s="39"/>
      <c r="K113" s="39"/>
      <c r="L113" s="39"/>
      <c r="M113" s="39"/>
      <c r="N113" s="39"/>
      <c r="O113" s="39"/>
      <c r="P113" s="39"/>
      <c r="Q113" s="39"/>
      <c r="R113" s="39"/>
      <c r="S113" s="39"/>
      <c r="T113" s="39"/>
      <c r="U113" s="39"/>
      <c r="V113" s="39"/>
      <c r="W113" s="39"/>
      <c r="X113" s="39"/>
      <c r="Y113" s="39"/>
      <c r="Z113" s="39"/>
      <c r="AA113" s="39"/>
      <c r="AB113" s="39"/>
      <c r="AC113" s="39"/>
    </row>
    <row r="114" spans="2:29" s="2" customFormat="1" ht="65" x14ac:dyDescent="0.25">
      <c r="B114" s="19">
        <f t="shared" si="6"/>
        <v>97</v>
      </c>
      <c r="C114" s="30" t="s">
        <v>182</v>
      </c>
      <c r="D114" s="26" t="s">
        <v>103</v>
      </c>
      <c r="E114" s="23"/>
      <c r="F114" s="24" t="s">
        <v>228</v>
      </c>
      <c r="G114" s="23"/>
      <c r="H114" s="24"/>
    </row>
    <row r="115" spans="2:29" s="2" customFormat="1" x14ac:dyDescent="0.25">
      <c r="B115" s="19">
        <f t="shared" si="6"/>
        <v>98</v>
      </c>
      <c r="C115" s="76" t="s">
        <v>169</v>
      </c>
      <c r="D115" s="26" t="s">
        <v>62</v>
      </c>
      <c r="E115" s="23"/>
      <c r="F115" s="24" t="s">
        <v>94</v>
      </c>
      <c r="G115" s="23"/>
      <c r="H115" s="24"/>
    </row>
    <row r="116" spans="2:29" s="2" customFormat="1" x14ac:dyDescent="0.25">
      <c r="B116" s="19">
        <f t="shared" si="6"/>
        <v>99</v>
      </c>
      <c r="C116" s="76" t="s">
        <v>170</v>
      </c>
      <c r="D116" s="26" t="s">
        <v>62</v>
      </c>
      <c r="E116" s="23"/>
      <c r="F116" s="24" t="s">
        <v>94</v>
      </c>
      <c r="G116" s="23"/>
      <c r="H116" s="24"/>
    </row>
    <row r="117" spans="2:29" s="2" customFormat="1" x14ac:dyDescent="0.25">
      <c r="B117" s="19">
        <f t="shared" si="6"/>
        <v>100</v>
      </c>
      <c r="C117" s="76" t="s">
        <v>171</v>
      </c>
      <c r="D117" s="26" t="s">
        <v>83</v>
      </c>
      <c r="E117" s="23"/>
      <c r="F117" s="24" t="s">
        <v>94</v>
      </c>
      <c r="G117" s="23"/>
      <c r="H117" s="24"/>
    </row>
    <row r="118" spans="2:29" s="2" customFormat="1" x14ac:dyDescent="0.25">
      <c r="B118" s="19">
        <f t="shared" si="6"/>
        <v>101</v>
      </c>
      <c r="C118" s="76" t="s">
        <v>172</v>
      </c>
      <c r="D118" s="26" t="s">
        <v>102</v>
      </c>
      <c r="E118" s="23"/>
      <c r="F118" s="24" t="s">
        <v>94</v>
      </c>
      <c r="G118" s="23"/>
      <c r="H118" s="24"/>
    </row>
    <row r="119" spans="2:29" s="2" customFormat="1" ht="28" x14ac:dyDescent="0.25">
      <c r="B119" s="19">
        <f t="shared" si="6"/>
        <v>102</v>
      </c>
      <c r="C119" s="76" t="s">
        <v>173</v>
      </c>
      <c r="D119" s="26"/>
      <c r="E119" s="23"/>
      <c r="F119" s="24" t="s">
        <v>94</v>
      </c>
      <c r="G119" s="23"/>
      <c r="H119" s="24"/>
      <c r="I119" s="39"/>
      <c r="J119" s="39"/>
      <c r="K119" s="39"/>
      <c r="L119" s="39"/>
      <c r="M119" s="39"/>
      <c r="N119" s="39"/>
      <c r="O119" s="39"/>
      <c r="P119" s="39"/>
      <c r="Q119" s="39"/>
      <c r="R119" s="39"/>
      <c r="S119" s="39"/>
      <c r="T119" s="39"/>
      <c r="U119" s="39"/>
      <c r="V119" s="39"/>
      <c r="W119" s="39"/>
      <c r="X119" s="39"/>
      <c r="Y119" s="39"/>
      <c r="Z119" s="39"/>
      <c r="AA119" s="39"/>
      <c r="AB119" s="39"/>
      <c r="AC119" s="39"/>
    </row>
    <row r="120" spans="2:29" s="2" customFormat="1" x14ac:dyDescent="0.25">
      <c r="B120" s="19" t="s">
        <v>18</v>
      </c>
      <c r="C120" s="20" t="s">
        <v>104</v>
      </c>
      <c r="D120" s="11" t="s">
        <v>20</v>
      </c>
      <c r="E120" s="27" t="s">
        <v>1</v>
      </c>
      <c r="F120" s="27" t="s">
        <v>59</v>
      </c>
      <c r="G120" s="27"/>
      <c r="H120" s="27"/>
    </row>
    <row r="121" spans="2:29" s="2" customFormat="1" ht="44" customHeight="1" x14ac:dyDescent="0.25">
      <c r="B121" s="19">
        <f>B119+1</f>
        <v>103</v>
      </c>
      <c r="C121" s="30" t="s">
        <v>183</v>
      </c>
      <c r="D121" s="26" t="s">
        <v>184</v>
      </c>
      <c r="E121" s="23"/>
      <c r="F121" s="24" t="s">
        <v>229</v>
      </c>
      <c r="G121" s="23"/>
      <c r="H121" s="24"/>
      <c r="I121" s="39"/>
      <c r="J121" s="39"/>
      <c r="K121" s="39"/>
      <c r="L121" s="39"/>
      <c r="M121" s="39"/>
      <c r="N121" s="39"/>
      <c r="O121" s="39"/>
      <c r="P121" s="39"/>
      <c r="Q121" s="39"/>
      <c r="R121" s="39"/>
      <c r="S121" s="39"/>
      <c r="T121" s="39"/>
      <c r="U121" s="39"/>
      <c r="V121" s="39"/>
      <c r="W121" s="39"/>
      <c r="X121" s="39"/>
      <c r="Y121" s="39"/>
      <c r="Z121" s="39"/>
      <c r="AA121" s="39"/>
      <c r="AB121" s="39"/>
      <c r="AC121" s="39"/>
    </row>
    <row r="122" spans="2:29" s="2" customFormat="1" ht="44" customHeight="1" thickBot="1" x14ac:dyDescent="0.3">
      <c r="B122" s="19">
        <f>B121+1</f>
        <v>104</v>
      </c>
      <c r="C122" s="30" t="s">
        <v>185</v>
      </c>
      <c r="D122" s="26" t="s">
        <v>186</v>
      </c>
      <c r="E122" s="23"/>
      <c r="F122" s="24" t="s">
        <v>230</v>
      </c>
      <c r="G122" s="23"/>
      <c r="H122" s="24"/>
      <c r="I122" s="39"/>
      <c r="J122" s="39"/>
      <c r="K122" s="39"/>
      <c r="L122" s="39"/>
      <c r="M122" s="39"/>
      <c r="N122" s="39"/>
      <c r="O122" s="39"/>
      <c r="P122" s="39"/>
      <c r="Q122" s="39"/>
      <c r="R122" s="39"/>
      <c r="S122" s="39"/>
      <c r="T122" s="39"/>
      <c r="U122" s="39"/>
      <c r="V122" s="39"/>
      <c r="W122" s="39"/>
      <c r="X122" s="39"/>
      <c r="Y122" s="39"/>
      <c r="Z122" s="39"/>
      <c r="AA122" s="39"/>
      <c r="AB122" s="39"/>
      <c r="AC122" s="39"/>
    </row>
    <row r="123" spans="2:29" s="2" customFormat="1" ht="44" customHeight="1" thickBot="1" x14ac:dyDescent="0.3">
      <c r="B123" s="65">
        <f>B122+1</f>
        <v>105</v>
      </c>
      <c r="C123" s="70" t="s">
        <v>187</v>
      </c>
      <c r="D123" s="71" t="s">
        <v>188</v>
      </c>
      <c r="E123" s="23" t="s">
        <v>5</v>
      </c>
      <c r="F123" s="24"/>
      <c r="G123" s="23"/>
      <c r="H123" s="24"/>
      <c r="I123" s="39"/>
      <c r="J123" s="39"/>
      <c r="K123" s="39"/>
      <c r="L123" s="39"/>
      <c r="M123" s="39"/>
      <c r="N123" s="39"/>
      <c r="O123" s="39"/>
      <c r="P123" s="39"/>
      <c r="Q123" s="39"/>
      <c r="R123" s="39"/>
      <c r="S123" s="39"/>
      <c r="T123" s="39"/>
      <c r="U123" s="39"/>
      <c r="V123" s="39"/>
      <c r="W123" s="39"/>
      <c r="X123" s="39"/>
      <c r="Y123" s="39"/>
      <c r="Z123" s="39"/>
      <c r="AA123" s="39"/>
      <c r="AB123" s="39"/>
      <c r="AC123" s="39"/>
    </row>
    <row r="124" spans="2:29" s="2" customFormat="1" ht="44" customHeight="1" thickBot="1" x14ac:dyDescent="0.3">
      <c r="B124" s="19">
        <f t="shared" ref="B124:B139" si="7">B123+1</f>
        <v>106</v>
      </c>
      <c r="C124" s="70" t="s">
        <v>189</v>
      </c>
      <c r="D124" s="71" t="s">
        <v>190</v>
      </c>
      <c r="E124" s="23"/>
      <c r="F124" s="24" t="s">
        <v>231</v>
      </c>
      <c r="G124" s="23"/>
      <c r="H124" s="24"/>
      <c r="I124" s="39"/>
      <c r="J124" s="39"/>
      <c r="K124" s="39"/>
      <c r="L124" s="39"/>
      <c r="M124" s="39"/>
      <c r="N124" s="39"/>
      <c r="O124" s="39"/>
      <c r="P124" s="39"/>
      <c r="Q124" s="39"/>
      <c r="R124" s="39"/>
      <c r="S124" s="39"/>
      <c r="T124" s="39"/>
      <c r="U124" s="39"/>
      <c r="V124" s="39"/>
      <c r="W124" s="39"/>
      <c r="X124" s="39"/>
      <c r="Y124" s="39"/>
      <c r="Z124" s="39"/>
      <c r="AA124" s="39"/>
      <c r="AB124" s="39"/>
      <c r="AC124" s="39"/>
    </row>
    <row r="125" spans="2:29" s="2" customFormat="1" ht="44" customHeight="1" thickBot="1" x14ac:dyDescent="0.3">
      <c r="B125" s="19">
        <f t="shared" si="7"/>
        <v>107</v>
      </c>
      <c r="C125" s="70" t="s">
        <v>191</v>
      </c>
      <c r="D125" s="71" t="s">
        <v>192</v>
      </c>
      <c r="E125" s="23"/>
      <c r="F125" s="24" t="s">
        <v>232</v>
      </c>
      <c r="G125" s="23"/>
      <c r="H125" s="24"/>
      <c r="I125" s="39"/>
      <c r="J125" s="39"/>
      <c r="K125" s="39"/>
      <c r="L125" s="39"/>
      <c r="M125" s="39"/>
      <c r="N125" s="39"/>
      <c r="O125" s="39"/>
      <c r="P125" s="39"/>
      <c r="Q125" s="39"/>
      <c r="R125" s="39"/>
      <c r="S125" s="39"/>
      <c r="T125" s="39"/>
      <c r="U125" s="39"/>
      <c r="V125" s="39"/>
      <c r="W125" s="39"/>
      <c r="X125" s="39"/>
      <c r="Y125" s="39"/>
      <c r="Z125" s="39"/>
      <c r="AA125" s="39"/>
      <c r="AB125" s="39"/>
      <c r="AC125" s="39"/>
    </row>
    <row r="126" spans="2:29" s="2" customFormat="1" ht="44" customHeight="1" thickBot="1" x14ac:dyDescent="0.3">
      <c r="B126" s="19">
        <f t="shared" si="7"/>
        <v>108</v>
      </c>
      <c r="C126" s="70" t="s">
        <v>193</v>
      </c>
      <c r="D126" s="71" t="s">
        <v>194</v>
      </c>
      <c r="E126" s="23"/>
      <c r="F126" s="24" t="s">
        <v>233</v>
      </c>
      <c r="G126" s="23"/>
      <c r="H126" s="24"/>
      <c r="I126" s="39"/>
      <c r="J126" s="39"/>
      <c r="K126" s="39"/>
      <c r="L126" s="39"/>
      <c r="M126" s="39"/>
      <c r="N126" s="39"/>
      <c r="O126" s="39"/>
      <c r="P126" s="39"/>
      <c r="Q126" s="39"/>
      <c r="R126" s="39"/>
      <c r="S126" s="39"/>
      <c r="T126" s="39"/>
      <c r="U126" s="39"/>
      <c r="V126" s="39"/>
      <c r="W126" s="39"/>
      <c r="X126" s="39"/>
      <c r="Y126" s="39"/>
      <c r="Z126" s="39"/>
      <c r="AA126" s="39"/>
      <c r="AB126" s="39"/>
      <c r="AC126" s="39"/>
    </row>
    <row r="127" spans="2:29" s="2" customFormat="1" ht="44" customHeight="1" thickBot="1" x14ac:dyDescent="0.3">
      <c r="B127" s="19">
        <f t="shared" si="7"/>
        <v>109</v>
      </c>
      <c r="C127" s="70" t="s">
        <v>195</v>
      </c>
      <c r="D127" s="71" t="s">
        <v>196</v>
      </c>
      <c r="E127" s="23"/>
      <c r="F127" s="24" t="s">
        <v>59</v>
      </c>
      <c r="G127" s="23"/>
      <c r="H127" s="24"/>
      <c r="I127" s="39"/>
      <c r="J127" s="39"/>
      <c r="K127" s="39"/>
      <c r="L127" s="39"/>
      <c r="M127" s="39"/>
      <c r="N127" s="39"/>
      <c r="O127" s="39"/>
      <c r="P127" s="39"/>
      <c r="Q127" s="39"/>
      <c r="R127" s="39"/>
      <c r="S127" s="39"/>
      <c r="T127" s="39"/>
      <c r="U127" s="39"/>
      <c r="V127" s="39"/>
      <c r="W127" s="39"/>
      <c r="X127" s="39"/>
      <c r="Y127" s="39"/>
      <c r="Z127" s="39"/>
      <c r="AA127" s="39"/>
      <c r="AB127" s="39"/>
      <c r="AC127" s="39"/>
    </row>
    <row r="128" spans="2:29" s="2" customFormat="1" ht="44" customHeight="1" thickBot="1" x14ac:dyDescent="0.3">
      <c r="B128" s="19">
        <f t="shared" si="7"/>
        <v>110</v>
      </c>
      <c r="C128" s="70" t="s">
        <v>197</v>
      </c>
      <c r="D128" s="71" t="s">
        <v>198</v>
      </c>
      <c r="E128" s="23"/>
      <c r="F128" s="24" t="s">
        <v>234</v>
      </c>
      <c r="G128" s="23"/>
      <c r="H128" s="24"/>
      <c r="I128" s="39"/>
      <c r="J128" s="39"/>
      <c r="K128" s="39"/>
      <c r="L128" s="39"/>
      <c r="M128" s="39"/>
      <c r="N128" s="39"/>
      <c r="O128" s="39"/>
      <c r="P128" s="39"/>
      <c r="Q128" s="39"/>
      <c r="R128" s="39"/>
      <c r="S128" s="39"/>
      <c r="T128" s="39"/>
      <c r="U128" s="39"/>
      <c r="V128" s="39"/>
      <c r="W128" s="39"/>
      <c r="X128" s="39"/>
      <c r="Y128" s="39"/>
      <c r="Z128" s="39"/>
      <c r="AA128" s="39"/>
      <c r="AB128" s="39"/>
      <c r="AC128" s="39"/>
    </row>
    <row r="129" spans="1:29" s="2" customFormat="1" ht="44" customHeight="1" thickBot="1" x14ac:dyDescent="0.3">
      <c r="B129" s="19">
        <f t="shared" si="7"/>
        <v>111</v>
      </c>
      <c r="C129" s="70" t="s">
        <v>199</v>
      </c>
      <c r="D129" s="71" t="s">
        <v>200</v>
      </c>
      <c r="E129" s="23"/>
      <c r="F129" s="24" t="s">
        <v>59</v>
      </c>
      <c r="G129" s="23"/>
      <c r="H129" s="24"/>
      <c r="I129" s="39"/>
      <c r="J129" s="39"/>
      <c r="K129" s="39"/>
      <c r="L129" s="39"/>
      <c r="M129" s="39"/>
      <c r="N129" s="39"/>
      <c r="O129" s="39"/>
      <c r="P129" s="39"/>
      <c r="Q129" s="39"/>
      <c r="R129" s="39"/>
      <c r="S129" s="39"/>
      <c r="T129" s="39"/>
      <c r="U129" s="39"/>
      <c r="V129" s="39"/>
      <c r="W129" s="39"/>
      <c r="X129" s="39"/>
      <c r="Y129" s="39"/>
      <c r="Z129" s="39"/>
      <c r="AA129" s="39"/>
      <c r="AB129" s="39"/>
      <c r="AC129" s="39"/>
    </row>
    <row r="130" spans="1:29" s="2" customFormat="1" ht="44" customHeight="1" thickBot="1" x14ac:dyDescent="0.3">
      <c r="B130" s="19">
        <f>B129+1</f>
        <v>112</v>
      </c>
      <c r="C130" s="70" t="s">
        <v>201</v>
      </c>
      <c r="D130" s="71" t="s">
        <v>202</v>
      </c>
      <c r="E130" s="23"/>
      <c r="F130" s="24" t="s">
        <v>234</v>
      </c>
      <c r="G130" s="23"/>
      <c r="H130" s="24"/>
      <c r="I130" s="39"/>
      <c r="J130" s="39"/>
      <c r="K130" s="39"/>
      <c r="L130" s="39"/>
      <c r="M130" s="39"/>
      <c r="N130" s="39"/>
      <c r="O130" s="39"/>
      <c r="P130" s="39"/>
      <c r="Q130" s="39"/>
      <c r="R130" s="39"/>
      <c r="S130" s="39"/>
      <c r="T130" s="39"/>
      <c r="U130" s="39"/>
      <c r="V130" s="39"/>
      <c r="W130" s="39"/>
      <c r="X130" s="39"/>
      <c r="Y130" s="39"/>
      <c r="Z130" s="39"/>
      <c r="AA130" s="39"/>
      <c r="AB130" s="39"/>
      <c r="AC130" s="39"/>
    </row>
    <row r="131" spans="1:29" s="2" customFormat="1" ht="44" customHeight="1" thickBot="1" x14ac:dyDescent="0.3">
      <c r="B131" s="19">
        <f>B130+1</f>
        <v>113</v>
      </c>
      <c r="C131" s="70" t="s">
        <v>203</v>
      </c>
      <c r="D131" s="71" t="s">
        <v>204</v>
      </c>
      <c r="E131" s="23"/>
      <c r="F131" s="24" t="s">
        <v>59</v>
      </c>
      <c r="G131" s="23"/>
      <c r="H131" s="24"/>
      <c r="I131" s="39"/>
      <c r="J131" s="39"/>
      <c r="K131" s="39"/>
      <c r="L131" s="39"/>
      <c r="M131" s="39"/>
      <c r="N131" s="39"/>
      <c r="O131" s="39"/>
      <c r="P131" s="39"/>
      <c r="Q131" s="39"/>
      <c r="R131" s="39"/>
      <c r="S131" s="39"/>
      <c r="T131" s="39"/>
      <c r="U131" s="39"/>
      <c r="V131" s="39"/>
      <c r="W131" s="39"/>
      <c r="X131" s="39"/>
      <c r="Y131" s="39"/>
      <c r="Z131" s="39"/>
      <c r="AA131" s="39"/>
      <c r="AB131" s="39"/>
      <c r="AC131" s="39"/>
    </row>
    <row r="132" spans="1:29" s="2" customFormat="1" ht="44" customHeight="1" thickBot="1" x14ac:dyDescent="0.3">
      <c r="B132" s="19">
        <f t="shared" si="7"/>
        <v>114</v>
      </c>
      <c r="C132" s="70" t="s">
        <v>205</v>
      </c>
      <c r="D132" s="71" t="s">
        <v>206</v>
      </c>
      <c r="E132" s="23"/>
      <c r="F132" s="24" t="s">
        <v>235</v>
      </c>
      <c r="G132" s="23"/>
      <c r="H132" s="24"/>
      <c r="I132" s="39"/>
      <c r="J132" s="39"/>
      <c r="K132" s="39"/>
      <c r="L132" s="39"/>
      <c r="M132" s="39"/>
      <c r="N132" s="39"/>
      <c r="O132" s="39"/>
      <c r="P132" s="39"/>
      <c r="Q132" s="39"/>
      <c r="R132" s="39"/>
      <c r="S132" s="39"/>
      <c r="T132" s="39"/>
      <c r="U132" s="39"/>
      <c r="V132" s="39"/>
      <c r="W132" s="39"/>
      <c r="X132" s="39"/>
      <c r="Y132" s="39"/>
      <c r="Z132" s="39"/>
      <c r="AA132" s="39"/>
      <c r="AB132" s="39"/>
      <c r="AC132" s="39"/>
    </row>
    <row r="133" spans="1:29" s="2" customFormat="1" ht="44" customHeight="1" thickBot="1" x14ac:dyDescent="0.3">
      <c r="B133" s="19">
        <f t="shared" si="7"/>
        <v>115</v>
      </c>
      <c r="C133" s="70" t="s">
        <v>207</v>
      </c>
      <c r="D133" s="71" t="s">
        <v>208</v>
      </c>
      <c r="E133" s="23"/>
      <c r="F133" s="24" t="s">
        <v>236</v>
      </c>
      <c r="G133" s="23"/>
      <c r="H133" s="24"/>
      <c r="I133" s="39"/>
      <c r="J133" s="39"/>
      <c r="K133" s="39"/>
      <c r="L133" s="39"/>
      <c r="M133" s="39"/>
      <c r="N133" s="39"/>
      <c r="O133" s="39"/>
      <c r="P133" s="39"/>
      <c r="Q133" s="39"/>
      <c r="R133" s="39"/>
      <c r="S133" s="39"/>
      <c r="T133" s="39"/>
      <c r="U133" s="39"/>
      <c r="V133" s="39"/>
      <c r="W133" s="39"/>
      <c r="X133" s="39"/>
      <c r="Y133" s="39"/>
      <c r="Z133" s="39"/>
      <c r="AA133" s="39"/>
      <c r="AB133" s="39"/>
      <c r="AC133" s="39"/>
    </row>
    <row r="134" spans="1:29" s="2" customFormat="1" ht="44" customHeight="1" thickBot="1" x14ac:dyDescent="0.3">
      <c r="B134" s="19">
        <f t="shared" si="7"/>
        <v>116</v>
      </c>
      <c r="C134" s="70" t="s">
        <v>209</v>
      </c>
      <c r="D134" s="71" t="s">
        <v>210</v>
      </c>
      <c r="E134" s="23"/>
      <c r="F134" s="24" t="s">
        <v>59</v>
      </c>
      <c r="G134" s="23"/>
      <c r="H134" s="24"/>
      <c r="I134" s="39"/>
      <c r="J134" s="39"/>
      <c r="K134" s="39"/>
      <c r="L134" s="39"/>
      <c r="M134" s="39"/>
      <c r="N134" s="39"/>
      <c r="O134" s="39"/>
      <c r="P134" s="39"/>
      <c r="Q134" s="39"/>
      <c r="R134" s="39"/>
      <c r="S134" s="39"/>
      <c r="T134" s="39"/>
      <c r="U134" s="39"/>
      <c r="V134" s="39"/>
      <c r="W134" s="39"/>
      <c r="X134" s="39"/>
      <c r="Y134" s="39"/>
      <c r="Z134" s="39"/>
      <c r="AA134" s="39"/>
      <c r="AB134" s="39"/>
      <c r="AC134" s="39"/>
    </row>
    <row r="135" spans="1:29" s="2" customFormat="1" ht="44" customHeight="1" thickBot="1" x14ac:dyDescent="0.3">
      <c r="B135" s="19">
        <f t="shared" si="7"/>
        <v>117</v>
      </c>
      <c r="C135" s="70" t="s">
        <v>211</v>
      </c>
      <c r="D135" s="71" t="s">
        <v>212</v>
      </c>
      <c r="E135" s="23"/>
      <c r="F135" s="24" t="s">
        <v>59</v>
      </c>
      <c r="G135" s="23"/>
      <c r="H135" s="24"/>
      <c r="I135" s="39"/>
      <c r="J135" s="39"/>
      <c r="K135" s="39"/>
      <c r="L135" s="39"/>
      <c r="M135" s="39"/>
      <c r="N135" s="39"/>
      <c r="O135" s="39"/>
      <c r="P135" s="39"/>
      <c r="Q135" s="39"/>
      <c r="R135" s="39"/>
      <c r="S135" s="39"/>
      <c r="T135" s="39"/>
      <c r="U135" s="39"/>
      <c r="V135" s="39"/>
      <c r="W135" s="39"/>
      <c r="X135" s="39"/>
      <c r="Y135" s="39"/>
      <c r="Z135" s="39"/>
      <c r="AA135" s="39"/>
      <c r="AB135" s="39"/>
      <c r="AC135" s="39"/>
    </row>
    <row r="136" spans="1:29" s="2" customFormat="1" ht="44" customHeight="1" thickBot="1" x14ac:dyDescent="0.3">
      <c r="B136" s="19">
        <f t="shared" si="7"/>
        <v>118</v>
      </c>
      <c r="C136" s="70" t="s">
        <v>213</v>
      </c>
      <c r="D136" s="71" t="s">
        <v>214</v>
      </c>
      <c r="E136" s="23"/>
      <c r="F136" s="24" t="s">
        <v>59</v>
      </c>
      <c r="G136" s="23"/>
      <c r="H136" s="24"/>
      <c r="I136" s="39"/>
      <c r="J136" s="39"/>
      <c r="K136" s="39"/>
      <c r="L136" s="39"/>
      <c r="M136" s="39"/>
      <c r="N136" s="39"/>
      <c r="O136" s="39"/>
      <c r="P136" s="39"/>
      <c r="Q136" s="39"/>
      <c r="R136" s="39"/>
      <c r="S136" s="39"/>
      <c r="T136" s="39"/>
      <c r="U136" s="39"/>
      <c r="V136" s="39"/>
      <c r="W136" s="39"/>
      <c r="X136" s="39"/>
      <c r="Y136" s="39"/>
      <c r="Z136" s="39"/>
      <c r="AA136" s="39"/>
      <c r="AB136" s="39"/>
      <c r="AC136" s="39"/>
    </row>
    <row r="137" spans="1:29" s="2" customFormat="1" ht="44" customHeight="1" thickBot="1" x14ac:dyDescent="0.3">
      <c r="B137" s="19">
        <f t="shared" si="7"/>
        <v>119</v>
      </c>
      <c r="C137" s="70" t="s">
        <v>215</v>
      </c>
      <c r="D137" s="71" t="s">
        <v>216</v>
      </c>
      <c r="E137" s="23"/>
      <c r="F137" s="24" t="s">
        <v>236</v>
      </c>
      <c r="G137" s="23"/>
      <c r="H137" s="24"/>
      <c r="I137" s="39"/>
      <c r="J137" s="39"/>
      <c r="K137" s="39"/>
      <c r="L137" s="39"/>
      <c r="M137" s="39"/>
      <c r="N137" s="39"/>
      <c r="O137" s="39"/>
      <c r="P137" s="39"/>
      <c r="Q137" s="39"/>
      <c r="R137" s="39"/>
      <c r="S137" s="39"/>
      <c r="T137" s="39"/>
      <c r="U137" s="39"/>
      <c r="V137" s="39"/>
      <c r="W137" s="39"/>
      <c r="X137" s="39"/>
      <c r="Y137" s="39"/>
      <c r="Z137" s="39"/>
      <c r="AA137" s="39"/>
      <c r="AB137" s="39"/>
      <c r="AC137" s="39"/>
    </row>
    <row r="138" spans="1:29" s="2" customFormat="1" ht="28" x14ac:dyDescent="0.25">
      <c r="B138" s="19">
        <f t="shared" si="7"/>
        <v>120</v>
      </c>
      <c r="C138" s="77" t="s">
        <v>105</v>
      </c>
      <c r="D138" s="26" t="s">
        <v>62</v>
      </c>
      <c r="E138" s="23"/>
      <c r="F138" s="24" t="s">
        <v>237</v>
      </c>
      <c r="G138" s="23"/>
      <c r="H138" s="24"/>
      <c r="I138" s="39"/>
      <c r="J138" s="39"/>
      <c r="K138" s="39"/>
      <c r="L138" s="39"/>
      <c r="M138" s="39"/>
      <c r="N138" s="39"/>
      <c r="O138" s="39"/>
      <c r="P138" s="39"/>
      <c r="Q138" s="39"/>
      <c r="R138" s="39"/>
      <c r="S138" s="39"/>
      <c r="T138" s="39"/>
      <c r="U138" s="39"/>
      <c r="V138" s="39"/>
      <c r="W138" s="39"/>
      <c r="X138" s="39"/>
      <c r="Y138" s="39"/>
      <c r="Z138" s="39"/>
      <c r="AA138" s="39"/>
      <c r="AB138" s="39"/>
      <c r="AC138" s="39"/>
    </row>
    <row r="139" spans="1:29" s="2" customFormat="1" ht="28" x14ac:dyDescent="0.25">
      <c r="B139" s="19">
        <f t="shared" si="7"/>
        <v>121</v>
      </c>
      <c r="C139" s="77" t="s">
        <v>106</v>
      </c>
      <c r="D139" s="26" t="s">
        <v>62</v>
      </c>
      <c r="E139" s="23"/>
      <c r="F139" s="24" t="s">
        <v>59</v>
      </c>
      <c r="G139" s="23"/>
      <c r="H139" s="24"/>
      <c r="I139" s="39"/>
      <c r="J139" s="39"/>
      <c r="K139" s="39"/>
      <c r="L139" s="39"/>
      <c r="M139" s="39"/>
      <c r="N139" s="39"/>
      <c r="O139" s="39"/>
      <c r="P139" s="39"/>
      <c r="Q139" s="39"/>
      <c r="R139" s="39"/>
      <c r="S139" s="39"/>
      <c r="T139" s="39"/>
      <c r="U139" s="39"/>
      <c r="V139" s="39"/>
      <c r="W139" s="39"/>
      <c r="X139" s="39"/>
      <c r="Y139" s="39"/>
      <c r="Z139" s="39"/>
      <c r="AA139" s="39"/>
      <c r="AB139" s="39"/>
      <c r="AC139" s="39"/>
    </row>
    <row r="140" spans="1:29" s="2" customFormat="1" x14ac:dyDescent="0.25">
      <c r="A140" s="40"/>
      <c r="B140" s="19" t="s">
        <v>18</v>
      </c>
      <c r="C140" s="20" t="s">
        <v>107</v>
      </c>
      <c r="D140" s="11"/>
      <c r="E140" s="27" t="s">
        <v>1</v>
      </c>
      <c r="F140" s="27" t="s">
        <v>59</v>
      </c>
      <c r="G140" s="27"/>
      <c r="H140" s="27"/>
    </row>
    <row r="141" spans="1:29" s="2" customFormat="1" ht="28" x14ac:dyDescent="0.25">
      <c r="B141" s="65">
        <f>B139+1</f>
        <v>122</v>
      </c>
      <c r="C141" s="41" t="s">
        <v>108</v>
      </c>
      <c r="D141" s="22" t="s">
        <v>109</v>
      </c>
      <c r="E141" s="23" t="s">
        <v>5</v>
      </c>
      <c r="F141" s="24" t="s">
        <v>110</v>
      </c>
      <c r="G141" s="23"/>
      <c r="H141" s="24"/>
    </row>
    <row r="142" spans="1:29" s="2" customFormat="1" ht="28" x14ac:dyDescent="0.25">
      <c r="B142" s="65">
        <f t="shared" ref="B142:B143" si="8">B141+1</f>
        <v>123</v>
      </c>
      <c r="C142" s="41" t="s">
        <v>111</v>
      </c>
      <c r="D142" s="22" t="s">
        <v>112</v>
      </c>
      <c r="E142" s="23" t="s">
        <v>5</v>
      </c>
      <c r="F142" s="24" t="s">
        <v>110</v>
      </c>
      <c r="G142" s="23"/>
      <c r="H142" s="24"/>
    </row>
    <row r="143" spans="1:29" s="2" customFormat="1" ht="86" customHeight="1" x14ac:dyDescent="0.25">
      <c r="B143" s="65">
        <f t="shared" si="8"/>
        <v>124</v>
      </c>
      <c r="C143" s="41" t="s">
        <v>113</v>
      </c>
      <c r="D143" s="22" t="s">
        <v>114</v>
      </c>
      <c r="E143" s="23" t="s">
        <v>5</v>
      </c>
      <c r="F143" s="24" t="s">
        <v>94</v>
      </c>
      <c r="G143" s="23"/>
      <c r="H143" s="24"/>
    </row>
    <row r="144" spans="1:29" s="2" customFormat="1" x14ac:dyDescent="0.25">
      <c r="B144" s="19"/>
      <c r="C144" s="20"/>
      <c r="D144" s="42"/>
      <c r="E144" s="27"/>
      <c r="F144" s="27"/>
      <c r="G144" s="27"/>
      <c r="H144" s="27"/>
    </row>
    <row r="145" spans="2:8" s="2" customFormat="1" x14ac:dyDescent="0.25">
      <c r="B145" s="19"/>
      <c r="C145" s="31"/>
      <c r="D145" s="26"/>
      <c r="E145" s="23"/>
      <c r="F145" s="24"/>
      <c r="G145" s="23"/>
      <c r="H145" s="24"/>
    </row>
    <row r="146" spans="2:8" s="2" customFormat="1" x14ac:dyDescent="0.25">
      <c r="B146" s="19"/>
      <c r="C146" s="31"/>
      <c r="D146" s="26"/>
      <c r="E146" s="23"/>
      <c r="F146" s="24"/>
      <c r="G146" s="23"/>
      <c r="H146" s="24"/>
    </row>
    <row r="147" spans="2:8" s="2" customFormat="1" x14ac:dyDescent="0.25">
      <c r="B147" s="1"/>
      <c r="C147" s="6" t="s">
        <v>115</v>
      </c>
      <c r="D147" s="8"/>
      <c r="E147" s="43">
        <f>IF((E$150+E$151)&gt;0,E$150/(E$150+E$151),0)</f>
        <v>1</v>
      </c>
      <c r="F147" s="44"/>
      <c r="G147" s="43">
        <f>IF((G$150+G$151)&gt;0,G$150/(G$150+G$151),0)</f>
        <v>0</v>
      </c>
      <c r="H147" s="44"/>
    </row>
    <row r="148" spans="2:8" s="2" customFormat="1" x14ac:dyDescent="0.25">
      <c r="B148" s="1"/>
      <c r="C148" s="45"/>
      <c r="D148" s="46"/>
      <c r="E148" s="47"/>
      <c r="F148" s="48"/>
      <c r="G148" s="47"/>
      <c r="H148" s="48"/>
    </row>
    <row r="149" spans="2:8" s="2" customFormat="1" x14ac:dyDescent="0.25">
      <c r="B149" s="1"/>
      <c r="C149" s="45" t="s">
        <v>116</v>
      </c>
      <c r="D149" s="46"/>
      <c r="E149" s="49">
        <f>COUNT($B$11:$B$146)</f>
        <v>124</v>
      </c>
      <c r="F149" s="48"/>
      <c r="G149" s="49">
        <f>COUNT($B$11:$B$146)</f>
        <v>124</v>
      </c>
      <c r="H149" s="48"/>
    </row>
    <row r="150" spans="2:8" s="2" customFormat="1" x14ac:dyDescent="0.25">
      <c r="B150" s="1"/>
      <c r="C150" s="50" t="s">
        <v>117</v>
      </c>
      <c r="D150" s="51"/>
      <c r="E150" s="49">
        <f>COUNTIF(E$11:E$146,"OK")</f>
        <v>32</v>
      </c>
      <c r="G150" s="49">
        <f>COUNTIF(G$11:G$146,"OK")</f>
        <v>0</v>
      </c>
    </row>
    <row r="151" spans="2:8" s="2" customFormat="1" x14ac:dyDescent="0.25">
      <c r="B151" s="1"/>
      <c r="C151" s="52" t="s">
        <v>118</v>
      </c>
      <c r="D151" s="53"/>
      <c r="E151" s="49">
        <f>COUNTIF(E$11:E$146,"NO OK")</f>
        <v>0</v>
      </c>
      <c r="G151" s="49">
        <f>COUNTIF(G$11:G$146,"NO OK")</f>
        <v>0</v>
      </c>
    </row>
    <row r="152" spans="2:8" s="2" customFormat="1" x14ac:dyDescent="0.25">
      <c r="B152" s="1"/>
      <c r="C152" s="50" t="s">
        <v>119</v>
      </c>
      <c r="D152" s="51"/>
      <c r="E152" s="49">
        <f>COUNTIF(E$11:E$146,"No Aplica")</f>
        <v>53</v>
      </c>
      <c r="G152" s="49">
        <f>COUNTIF(G$11:G$146,"No Aplica")</f>
        <v>0</v>
      </c>
    </row>
    <row r="153" spans="2:8" s="2" customFormat="1" x14ac:dyDescent="0.25">
      <c r="B153" s="1"/>
      <c r="C153" s="50"/>
      <c r="D153" s="51"/>
      <c r="E153" s="49"/>
      <c r="G153" s="49"/>
    </row>
    <row r="154" spans="2:8" s="56" customFormat="1" ht="37.5" x14ac:dyDescent="0.25">
      <c r="B154" s="54"/>
      <c r="C154" s="51"/>
      <c r="D154" s="51"/>
      <c r="E154" s="55" t="str">
        <f>IF(SUM(E$150:E$152)&lt;E$149, "Todavía faltan puntos por calificar.","Se han calificado ya todos los puntos para este Producto.")</f>
        <v>Todavía faltan puntos por calificar.</v>
      </c>
      <c r="G154" s="55" t="str">
        <f>IF(SUM(G$150:G$152)&lt;G$149, "Todavía faltan puntos por calificar.","Se han calificado ya todos los puntos para este Producto.")</f>
        <v>Todavía faltan puntos por calificar.</v>
      </c>
    </row>
    <row r="155" spans="2:8" s="2" customFormat="1" x14ac:dyDescent="0.25">
      <c r="B155" s="1"/>
      <c r="C155" s="50"/>
      <c r="D155" s="51"/>
      <c r="E155" s="5"/>
      <c r="G155" s="5"/>
    </row>
    <row r="156" spans="2:8" s="2" customFormat="1" x14ac:dyDescent="0.25">
      <c r="B156" s="1"/>
      <c r="C156" s="50"/>
      <c r="D156" s="51"/>
      <c r="E156" s="5"/>
      <c r="G156" s="5"/>
    </row>
    <row r="157" spans="2:8" s="2" customFormat="1" x14ac:dyDescent="0.25">
      <c r="B157" s="1"/>
      <c r="C157" s="50"/>
      <c r="D157" s="51"/>
      <c r="E157" s="5"/>
      <c r="G157" s="5"/>
    </row>
    <row r="158" spans="2:8" s="2" customFormat="1" x14ac:dyDescent="0.25">
      <c r="B158" s="1"/>
      <c r="C158" s="50"/>
      <c r="D158" s="51"/>
      <c r="E158" s="5"/>
      <c r="G158" s="5"/>
    </row>
    <row r="159" spans="2:8" s="2" customFormat="1" x14ac:dyDescent="0.25">
      <c r="B159" s="1"/>
      <c r="C159" s="50"/>
      <c r="D159" s="51"/>
      <c r="E159" s="5"/>
      <c r="G159" s="5"/>
    </row>
  </sheetData>
  <mergeCells count="6">
    <mergeCell ref="C6:D7"/>
    <mergeCell ref="C1:F1"/>
    <mergeCell ref="E3:F3"/>
    <mergeCell ref="G3:H3"/>
    <mergeCell ref="E4:F4"/>
    <mergeCell ref="G4:H4"/>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G145:G146 G11:G20 G50:G57 G121:G139 G22:G27 G141:G143 E145:E146 G59:G62 G64:G81 G83:G119 G30:G48 E11:E20 E30:E48 E121:E139 E59:E62 E50:E57 E22:E27 E64:E81 E141:E143 E83:E119" xr:uid="{6DE8DE0E-A323-4E90-B3D8-AD2C2690D07D}">
      <formula1>$AC$1:$AC$3</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2026-03-25T00:15:45Z</dcterms:created>
  <dcterms:modified xsi:type="dcterms:W3CDTF">2026-03-26T22:34:21Z</dcterms:modified>
</cp:coreProperties>
</file>