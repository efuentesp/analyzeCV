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FF19B9A2-DF8D-430E-A176-D8C4E2EBD9EE}" xr6:coauthVersionLast="47" xr6:coauthVersionMax="47" xr10:uidLastSave="{00000000-0000-0000-0000-000000000000}"/>
  <bookViews>
    <workbookView xWindow="-110" yWindow="-110" windowWidth="19420" windowHeight="11500" xr2:uid="{E930FB70-ED16-4863-849D-5EB07F8A3BA5}"/>
  </bookViews>
  <sheets>
    <sheet name="09 Analista Junior" sheetId="2" r:id="rId1"/>
  </sheets>
  <externalReferences>
    <externalReference r:id="rId2"/>
    <externalReference r:id="rId3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2" l="1"/>
  <c r="E113" i="2"/>
  <c r="G112" i="2"/>
  <c r="E112" i="2"/>
  <c r="G111" i="2"/>
  <c r="E111" i="2"/>
  <c r="G108" i="2"/>
  <c r="B31" i="2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7" i="2" s="1"/>
  <c r="B48" i="2" s="1"/>
  <c r="B49" i="2" s="1"/>
  <c r="B50" i="2" s="1"/>
  <c r="B51" i="2" s="1"/>
  <c r="B52" i="2" s="1"/>
  <c r="B53" i="2" s="1"/>
  <c r="B54" i="2" s="1"/>
  <c r="B56" i="2" s="1"/>
  <c r="B58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2" i="2" s="1"/>
  <c r="B103" i="2" s="1"/>
  <c r="B104" i="2" s="1"/>
  <c r="B23" i="2"/>
  <c r="B24" i="2" s="1"/>
  <c r="B25" i="2" s="1"/>
  <c r="B26" i="2" s="1"/>
  <c r="B27" i="2" s="1"/>
  <c r="B12" i="2"/>
  <c r="B13" i="2" s="1"/>
  <c r="E108" i="2" l="1"/>
  <c r="B14" i="2"/>
  <c r="B15" i="2" s="1"/>
  <c r="B16" i="2" s="1"/>
  <c r="B17" i="2" s="1"/>
  <c r="B18" i="2" s="1"/>
  <c r="B19" i="2" s="1"/>
  <c r="B20" i="2" s="1"/>
  <c r="E110" i="2"/>
  <c r="E115" i="2" s="1"/>
  <c r="G110" i="2"/>
  <c r="G115" i="2" s="1"/>
</calcChain>
</file>

<file path=xl/sharedStrings.xml><?xml version="1.0" encoding="utf-8"?>
<sst xmlns="http://schemas.openxmlformats.org/spreadsheetml/2006/main" count="253" uniqueCount="168">
  <si>
    <r>
      <rPr>
        <sz val="8"/>
        <rFont val="Microsoft Uighur"/>
        <charset val="178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</si>
  <si>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</si>
  <si>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</si>
  <si>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</si>
  <si>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</si>
  <si>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</si>
  <si>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</si>
  <si>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</si>
  <si>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</si>
  <si>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</si>
  <si>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</si>
  <si>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</si>
  <si>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</si>
  <si>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</si>
  <si>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</si>
  <si>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</si>
  <si>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</si>
  <si>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</si>
  <si>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</si>
  <si>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</si>
  <si>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</si>
  <si>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</si>
  <si>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</si>
  <si>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</si>
  <si>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</si>
  <si>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</si>
  <si>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</si>
  <si>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</si>
  <si>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</si>
  <si>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</si>
  <si>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</si>
  <si>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“Analista Junior”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</si>
  <si>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</si>
  <si>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</si>
  <si>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</si>
  <si>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</si>
  <si>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</si>
  <si>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</si>
  <si>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</si>
  <si>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</si>
  <si>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</si>
  <si>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</si>
  <si>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</si>
  <si>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</si>
  <si>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</si>
  <si>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</si>
  <si>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</si>
  <si>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</si>
  <si>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</si>
  <si>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</si>
  <si>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</si>
  <si>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</si>
  <si>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</si>
  <si>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</si>
  <si>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</si>
  <si>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</si>
  <si>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</si>
  <si>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1 año </t>
    </r>
    <r>
      <rPr>
        <sz val="9"/>
        <color theme="1"/>
        <rFont val="Segoe UI"/>
        <family val="2"/>
      </rPr>
      <t>de experiencia comprobada en análisis de sistemas, aplicaciones, servicios, procesos y/o soluciones de Inteligencia de Negocio.?</t>
    </r>
  </si>
  <si>
    <r>
      <t>Para el rol del</t>
    </r>
    <r>
      <rPr>
        <b/>
        <sz val="9"/>
        <rFont val="Segoe UI"/>
        <family val="2"/>
      </rPr>
      <t xml:space="preserve"> Analista Senior</t>
    </r>
    <r>
      <rPr>
        <sz val="9"/>
        <rFont val="Segoe UI"/>
        <family val="2"/>
      </rPr>
      <t xml:space="preserve">
Al menos 1 año de experiencia en análisis de sistemas, aplicaciones, servicios, procesos y/o soluciones de Inteligencia de Negocio</t>
    </r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</si>
  <si>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</si>
  <si>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</si>
  <si>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r>
      <t xml:space="preserve">¿Ha levantado y documentado </t>
    </r>
    <r>
      <rPr>
        <b/>
        <sz val="9"/>
        <color theme="1"/>
        <rFont val="Segoe UI"/>
        <family val="2"/>
      </rPr>
      <t>requisitos</t>
    </r>
    <r>
      <rPr>
        <sz val="9"/>
        <color theme="1"/>
        <rFont val="Segoe UI"/>
        <family val="2"/>
      </rPr>
      <t xml:space="preserve"> (plantillas, versiones, control de cambios)?</t>
    </r>
  </si>
  <si>
    <t>Formato requisitos + bitácora</t>
  </si>
  <si>
    <r>
      <t xml:space="preserve">¿Ha construido </t>
    </r>
    <r>
      <rPr>
        <b/>
        <sz val="9"/>
        <color theme="1"/>
        <rFont val="Segoe UI"/>
        <family val="2"/>
      </rPr>
      <t>casos y datos de prueba</t>
    </r>
    <r>
      <rPr>
        <sz val="9"/>
        <color theme="1"/>
        <rFont val="Segoe UI"/>
        <family val="2"/>
      </rPr>
      <t xml:space="preserve"> y registrado resultados en las planillas oficiales?</t>
    </r>
  </si>
  <si>
    <t>Planillas con resultados</t>
  </si>
  <si>
    <r>
      <t xml:space="preserve">¿Ha preparado </t>
    </r>
    <r>
      <rPr>
        <b/>
        <sz val="9"/>
        <color theme="1"/>
        <rFont val="Segoe UI"/>
        <family val="2"/>
      </rPr>
      <t>evidencias</t>
    </r>
    <r>
      <rPr>
        <sz val="9"/>
        <color theme="1"/>
        <rFont val="Segoe UI"/>
        <family val="2"/>
      </rPr>
      <t xml:space="preserve"> (capturas, actas, marcadores) para la </t>
    </r>
    <r>
      <rPr>
        <b/>
        <sz val="9"/>
        <color theme="1"/>
        <rFont val="Segoe UI"/>
        <family val="2"/>
      </rPr>
      <t>carpeta</t>
    </r>
    <r>
      <rPr>
        <sz val="9"/>
        <color theme="1"/>
        <rFont val="Segoe UI"/>
        <family val="2"/>
      </rPr>
      <t xml:space="preserve"> mensual?</t>
    </r>
  </si>
  <si>
    <t>Evidencias + checklist</t>
  </si>
  <si>
    <r>
      <t xml:space="preserve">¿Ha seguido </t>
    </r>
    <r>
      <rPr>
        <b/>
        <sz val="9"/>
        <color theme="1"/>
        <rFont val="Segoe UI"/>
        <family val="2"/>
      </rPr>
      <t>checklists</t>
    </r>
    <r>
      <rPr>
        <sz val="9"/>
        <color theme="1"/>
        <rFont val="Segoe UI"/>
        <family val="2"/>
      </rPr>
      <t xml:space="preserve"> de calidad documental (formato, firmas, consistencia) para dictamen?</t>
    </r>
  </si>
  <si>
    <t>Lista de control firmada</t>
  </si>
  <si>
    <r>
      <t xml:space="preserve">¿Ha apoyado en la </t>
    </r>
    <r>
      <rPr>
        <b/>
        <sz val="9"/>
        <color theme="1"/>
        <rFont val="Segoe UI"/>
        <family val="2"/>
      </rPr>
      <t>entrega a AVL</t>
    </r>
    <r>
      <rPr>
        <sz val="9"/>
        <color theme="1"/>
        <rFont val="Segoe UI"/>
        <family val="2"/>
      </rPr>
      <t xml:space="preserve"> (verificación de artefactos, checklist)?</t>
    </r>
  </si>
  <si>
    <t>Checklist + acuse</t>
  </si>
  <si>
    <r>
      <t xml:space="preserve">¿Acredita experiencia operando bajo </t>
    </r>
    <r>
      <rPr>
        <b/>
        <sz val="9"/>
        <color theme="1"/>
        <rFont val="Segoe UI"/>
        <family val="2"/>
      </rPr>
      <t>Cobertura A</t>
    </r>
    <r>
      <rPr>
        <sz val="9"/>
        <color theme="1"/>
        <rFont val="Segoe UI"/>
        <family val="2"/>
      </rPr>
      <t xml:space="preserve"> y comunicación con Mesa SAT/equipo técnico?</t>
    </r>
  </si>
  <si>
    <r>
      <t xml:space="preserve">¿La experiencia suma </t>
    </r>
    <r>
      <rPr>
        <b/>
        <sz val="9"/>
        <color theme="1"/>
        <rFont val="Segoe UI"/>
        <family val="2"/>
      </rPr>
      <t>≥1 año</t>
    </r>
    <r>
      <rPr>
        <sz val="9"/>
        <color theme="1"/>
        <rFont val="Segoe UI"/>
        <family val="2"/>
      </rPr>
      <t xml:space="preserve"> en recopilar, analizar y representar los requerimientos solicitados.
Documentar la propuesta de solución en los entregables correspondientes.
Habilidades en:
</t>
    </r>
    <r>
      <rPr>
        <b/>
        <sz val="9"/>
        <color theme="1"/>
        <rFont val="Segoe UI"/>
        <family val="2"/>
      </rPr>
      <t>Recopilación</t>
    </r>
    <r>
      <rPr>
        <sz val="9"/>
        <color theme="1"/>
        <rFont val="Segoe UI"/>
        <family val="2"/>
      </rPr>
      <t xml:space="preserve"> de información
</t>
    </r>
    <r>
      <rPr>
        <b/>
        <sz val="9"/>
        <color theme="1"/>
        <rFont val="Segoe UI"/>
        <family val="2"/>
      </rPr>
      <t>Análisis</t>
    </r>
    <r>
      <rPr>
        <sz val="9"/>
        <color theme="1"/>
        <rFont val="Segoe UI"/>
        <family val="2"/>
      </rPr>
      <t xml:space="preserve"> e interpretación de datos
Identificación de </t>
    </r>
    <r>
      <rPr>
        <b/>
        <sz val="9"/>
        <color theme="1"/>
        <rFont val="Segoe UI"/>
        <family val="2"/>
      </rPr>
      <t>patrones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oportunidades</t>
    </r>
    <r>
      <rPr>
        <sz val="9"/>
        <color theme="1"/>
        <rFont val="Segoe UI"/>
        <family val="2"/>
      </rPr>
      <t xml:space="preserve"> de mejora.
Generación de la </t>
    </r>
    <r>
      <rPr>
        <b/>
        <sz val="9"/>
        <color theme="1"/>
        <rFont val="Segoe UI"/>
        <family val="2"/>
      </rPr>
      <t>documentación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requerimientos</t>
    </r>
    <r>
      <rPr>
        <sz val="9"/>
        <color theme="1"/>
        <rFont val="Segoe UI"/>
        <family val="2"/>
      </rPr>
      <t xml:space="preserve"> funcionales y técnicos.
</t>
    </r>
    <r>
      <rPr>
        <b/>
        <sz val="9"/>
        <color theme="1"/>
        <rFont val="Segoe UI"/>
        <family val="2"/>
      </rPr>
      <t>Adaptabilidad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flexibilidad</t>
    </r>
    <r>
      <rPr>
        <sz val="9"/>
        <color theme="1"/>
        <rFont val="Segoe UI"/>
        <family val="2"/>
      </rPr>
      <t>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</si>
  <si>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un 1</t>
    </r>
    <r>
      <rPr>
        <b/>
        <sz val="9"/>
        <color theme="1"/>
        <rFont val="Segoe UI"/>
        <family val="2"/>
      </rPr>
      <t xml:space="preserve"> año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</si>
  <si>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</si>
  <si>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</si>
  <si>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</si>
  <si>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</si>
  <si>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</si>
  <si>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</si>
  <si>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</si>
  <si>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</si>
  <si>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</si>
  <si>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</t>
    </r>
    <r>
      <rPr>
        <b/>
        <sz val="9"/>
        <color theme="1"/>
        <rFont val="Segoe UI"/>
        <family val="2"/>
      </rPr>
      <t>Recopilación</t>
    </r>
    <r>
      <rPr>
        <sz val="9"/>
        <color theme="1"/>
        <rFont val="Segoe UI"/>
        <family val="2"/>
      </rPr>
      <t xml:space="preserve"> de información
</t>
    </r>
    <r>
      <rPr>
        <b/>
        <sz val="9"/>
        <color theme="1"/>
        <rFont val="Segoe UI"/>
        <family val="2"/>
      </rPr>
      <t>Análisis</t>
    </r>
    <r>
      <rPr>
        <sz val="9"/>
        <color theme="1"/>
        <rFont val="Segoe UI"/>
        <family val="2"/>
      </rPr>
      <t xml:space="preserve"> e interpretación de datos
Identificación de </t>
    </r>
    <r>
      <rPr>
        <b/>
        <sz val="9"/>
        <color theme="1"/>
        <rFont val="Segoe UI"/>
        <family val="2"/>
      </rPr>
      <t>patrones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oportunidades</t>
    </r>
    <r>
      <rPr>
        <sz val="9"/>
        <color theme="1"/>
        <rFont val="Segoe UI"/>
        <family val="2"/>
      </rPr>
      <t xml:space="preserve"> de mejora.
Generación de la </t>
    </r>
    <r>
      <rPr>
        <b/>
        <sz val="9"/>
        <color theme="1"/>
        <rFont val="Segoe UI"/>
        <family val="2"/>
      </rPr>
      <t>documentación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requerimientos</t>
    </r>
    <r>
      <rPr>
        <sz val="9"/>
        <color theme="1"/>
        <rFont val="Segoe UI"/>
        <family val="2"/>
      </rPr>
      <t xml:space="preserve"> funcionales y técnicos.
</t>
    </r>
    <r>
      <rPr>
        <b/>
        <sz val="9"/>
        <color theme="1"/>
        <rFont val="Segoe UI"/>
        <family val="2"/>
      </rPr>
      <t>Adaptabilidad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flexibilidad</t>
    </r>
    <r>
      <rPr>
        <sz val="9"/>
        <color theme="1"/>
        <rFont val="Segoe UI"/>
        <family val="2"/>
      </rPr>
      <t>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</si>
  <si>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presupuesto, metodología, resultados medibles) para contextualizar el alcance gestionado?</t>
    </r>
  </si>
  <si>
    <t>años, alcance, tamaño del equipo de analistas,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</si>
  <si>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</si>
  <si>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 xml:space="preserve">estudios </t>
    </r>
    <r>
      <rPr>
        <sz val="9"/>
        <color theme="1"/>
        <rFont val="Segoe UI"/>
        <family val="2"/>
      </rPr>
      <t xml:space="preserve">de </t>
    </r>
    <r>
      <rPr>
        <b/>
        <sz val="9"/>
        <color theme="1"/>
        <rFont val="Segoe UI"/>
        <family val="2"/>
      </rPr>
      <t xml:space="preserve">carrera técnica </t>
    </r>
    <r>
      <rPr>
        <sz val="9"/>
        <color theme="1"/>
        <rFont val="Segoe UI"/>
        <family val="2"/>
      </rPr>
      <t xml:space="preserve">de </t>
    </r>
    <r>
      <rPr>
        <b/>
        <sz val="9"/>
        <color theme="1"/>
        <rFont val="Segoe UI"/>
        <family val="2"/>
      </rPr>
      <t>nivel medio superior</t>
    </r>
    <r>
      <rPr>
        <sz val="9"/>
        <color theme="1"/>
        <rFont val="Segoe UI"/>
        <family val="2"/>
      </rPr>
      <t xml:space="preserve"> o</t>
    </r>
    <r>
      <rPr>
        <b/>
        <sz val="9"/>
        <color theme="1"/>
        <rFont val="Segoe UI"/>
        <family val="2"/>
      </rPr>
      <t xml:space="preserve"> nivel superior</t>
    </r>
    <r>
      <rPr>
        <sz val="9"/>
        <color theme="1"/>
        <rFont val="Segoe UI"/>
        <family val="2"/>
      </rPr>
      <t xml:space="preserve"> acreditable de nivel</t>
    </r>
    <r>
      <rPr>
        <b/>
        <sz val="9"/>
        <color theme="1"/>
        <rFont val="Segoe UI"/>
        <family val="2"/>
      </rPr>
      <t xml:space="preserve"> licenciatura o ingeniería</t>
    </r>
    <r>
      <rPr>
        <sz val="9"/>
        <color theme="1"/>
        <rFont val="Segoe UI"/>
        <family val="2"/>
      </rPr>
      <t>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</si>
  <si>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</si>
  <si>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</si>
  <si>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 xml:space="preserve">Computación e Informática, Administración, Informática Administrativa, Matemáticas-Actuaría, Física, Contaduría, Sistemas y Calidad 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</si>
  <si>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</si>
  <si>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</si>
  <si>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</si>
  <si>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</si>
  <si>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</si>
  <si>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</si>
  <si>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</si>
  <si>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</si>
  <si>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</si>
  <si>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</si>
  <si>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</si>
  <si>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</si>
  <si>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</si>
  <si>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Acreditar </t>
    </r>
    <r>
      <rPr>
        <b/>
        <sz val="9"/>
        <color theme="1"/>
        <rFont val="Segoe UI"/>
        <family val="2"/>
      </rPr>
      <t>conocimiento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comprobable en</t>
    </r>
    <r>
      <rPr>
        <sz val="9"/>
        <color theme="1"/>
        <rFont val="Segoe UI"/>
        <family val="2"/>
      </rPr>
      <t xml:space="preserve"> al menos uno de los siguientes temas:
Diagramación y procesos informáticos tales como UML, de flujo, conceptuales, de fase, de bloques.
Experiencia de usuario e interfaz de usuario (UX, UI)
Metodologías ágiles?</t>
    </r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</si>
  <si>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</si>
  <si>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</si>
  <si>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</si>
  <si>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</si>
  <si>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</si>
  <si>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</si>
  <si>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r>
      <t xml:space="preserve">Evidencias escaneadas digitalizadas. 
Coincidencia en nombre entre CV y documentos
SAT podra cotejar validez con las instituciones/organizaciones que imparten los cursos 
</t>
    </r>
    <r>
      <rPr>
        <b/>
        <sz val="9"/>
        <rFont val="Segoe UI"/>
        <family val="2"/>
      </rPr>
      <t>Diagramación</t>
    </r>
    <r>
      <rPr>
        <sz val="9"/>
        <rFont val="Segoe UI"/>
        <family val="2"/>
      </rPr>
      <t xml:space="preserve"> y </t>
    </r>
    <r>
      <rPr>
        <b/>
        <sz val="9"/>
        <rFont val="Segoe UI"/>
        <family val="2"/>
      </rPr>
      <t xml:space="preserve">procesos informáticos </t>
    </r>
    <r>
      <rPr>
        <sz val="9"/>
        <rFont val="Segoe UI"/>
        <family val="2"/>
      </rPr>
      <t xml:space="preserve">tales como UML, de flujo, conceptuales, de fase, de bloques.
</t>
    </r>
    <r>
      <rPr>
        <b/>
        <sz val="9"/>
        <rFont val="Segoe UI"/>
        <family val="2"/>
      </rPr>
      <t>Experiencia</t>
    </r>
    <r>
      <rPr>
        <sz val="9"/>
        <rFont val="Segoe UI"/>
        <family val="2"/>
      </rPr>
      <t xml:space="preserve"> de </t>
    </r>
    <r>
      <rPr>
        <b/>
        <sz val="9"/>
        <rFont val="Segoe UI"/>
        <family val="2"/>
      </rPr>
      <t>usuario</t>
    </r>
    <r>
      <rPr>
        <sz val="9"/>
        <rFont val="Segoe UI"/>
        <family val="2"/>
      </rPr>
      <t xml:space="preserve"> e interfaz de usuario (UX, UI)
</t>
    </r>
    <r>
      <rPr>
        <b/>
        <sz val="9"/>
        <rFont val="Segoe UI"/>
        <family val="2"/>
      </rPr>
      <t>Metodologías ágiles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</si>
  <si>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Diagramación y procesos informáticos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</si>
  <si>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tales como UML, diagrams de flujo, dicagramas conceptuales, diagramas de fase, diagramas de bloques.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</si>
  <si>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</si>
  <si>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</si>
  <si>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</si>
  <si>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</si>
  <si>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</si>
  <si>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</si>
  <si>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</si>
  <si>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 xml:space="preserve">preparación en </t>
    </r>
    <r>
      <rPr>
        <b/>
        <sz val="9"/>
        <color theme="1"/>
        <rFont val="Segoe UI"/>
        <family val="2"/>
      </rPr>
      <t xml:space="preserve"> Experiencia de usuario e interfaz de usuario (UX, UI)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</si>
  <si>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Experiencia de usuario e interfaz de usuario (UX, UI)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</si>
  <si>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>Metodologías ágiles?</t>
    </r>
  </si>
  <si>
    <t xml:space="preserve">Conocimiento comprobable en al menos uno
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</si>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</sst>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  <charset val="178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4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 wrapText="1"/>
    </xf>
    <xf numFmtId="0" fontId="16" fillId="0" borderId="5" xfId="0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" fillId="0" borderId="0" xfId="1"/>
    <xf numFmtId="0" fontId="16" fillId="0" borderId="12" xfId="0" applyFont="1" applyBorder="1" applyAlignment="1">
      <alignment vertical="center" wrapText="1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9" fillId="0" borderId="0" xfId="1" applyFont="1" applyAlignment="1">
      <alignment horizontal="left" vertical="top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</cellXfs>
  <cellStyles count="3">
    <cellStyle name="Normal" xfId="0" builtinId="0"/>
    <cellStyle name="Normal 2" xfId="1" xr:uid="{7736B158-6733-43E1-9E67-CDFF938901B4}"/>
    <cellStyle name="Percent 2" xfId="2" xr:uid="{21973E07-F1F1-44BB-ACEF-0220F01D590F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image" Target="../media/image4.jpe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hyperlink" Target="#'Datos generales &amp; Cat&#225;logos'!C21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BC80F-9BF1-4727-BE54-BF954DD5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0AC26C-8D36-4B1F-816F-2C1FBDA234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9B4F7-3213-407B-BBA0-8F068A56E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9AC779-3D43-46ED-8CCA-303E2BCC34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F7A8E3E5-C49C-484C-8395-825520AA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32E24-42B3-4843-9835-AC22D095A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8A7B68-93F3-493F-ACF4-8CF1A31664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ED1F-F2CB-4AA9-815B-9EE3AA3EF561}">
  <sheetPr>
    <tabColor rgb="FF99FF66"/>
  </sheetPr>
  <dimension ref="B1:XFD115"/>
  <sheetViews>
    <sheetView showGridLines="0" tabSelected="1" topLeftCell="C14" zoomScaleNormal="100" workbookViewId="0">
      <selection activeCell="E102" sqref="E102:E104"/>
    </sheetView>
  </sheetViews>
  <sheetFormatPr defaultColWidth="9.1796875" defaultRowHeight="14" x14ac:dyDescent="0.25"/>
  <cols>
    <col min="1" max="1" width="9.1796875" style="2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0" t="s">
        <v>0</v>
      </c>
      <c r="D1" s="71"/>
      <c r="E1" s="71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2" t="s">
        <v>4</v>
      </c>
      <c r="F3" s="73"/>
      <c r="G3" s="74"/>
      <c r="H3" s="74"/>
      <c r="AC3" s="2" t="s">
        <v>5</v>
      </c>
    </row>
    <row r="4" spans="2:29" x14ac:dyDescent="0.25">
      <c r="C4" s="6" t="s">
        <v>6</v>
      </c>
      <c r="D4" s="8"/>
      <c r="E4" s="72" t="s">
        <v>7</v>
      </c>
      <c r="F4" s="73"/>
      <c r="G4" s="74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69" t="s">
        <v>8</v>
      </c>
      <c r="D6" s="6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69"/>
      <c r="D7" s="69"/>
      <c r="E7" s="10" t="s">
        <v>11</v>
      </c>
      <c r="F7" s="10"/>
      <c r="G7" s="10" t="s">
        <v>11</v>
      </c>
      <c r="H7" s="10"/>
    </row>
    <row r="8" spans="2:29" ht="16.5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x14ac:dyDescent="0.25">
      <c r="B12" s="27">
        <f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x14ac:dyDescent="0.25">
      <c r="B13" s="27">
        <f t="shared" ref="B13:B54" si="0">B12+1</f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 t="shared" si="0"/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x14ac:dyDescent="0.25">
      <c r="B24" s="22">
        <f t="shared" si="0"/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 t="shared" si="0"/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 t="shared" si="0"/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 t="shared" si="0"/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x14ac:dyDescent="0.25">
      <c r="B30" s="19">
        <v>17</v>
      </c>
      <c r="C30" s="38" t="s">
        <v>57</v>
      </c>
      <c r="D30" s="39" t="s">
        <v>58</v>
      </c>
      <c r="E30" s="25"/>
      <c r="F30" s="26"/>
      <c r="G30" s="25"/>
      <c r="H30" s="26"/>
    </row>
    <row r="31" spans="2:8" ht="112" x14ac:dyDescent="0.25">
      <c r="B31" s="19">
        <f>B30+1</f>
        <v>18</v>
      </c>
      <c r="C31" s="38" t="s">
        <v>59</v>
      </c>
      <c r="D31" s="39" t="s">
        <v>60</v>
      </c>
      <c r="E31" s="25"/>
      <c r="F31" s="26"/>
      <c r="G31" s="25"/>
      <c r="H31" s="26"/>
    </row>
    <row r="32" spans="2:8" ht="28" x14ac:dyDescent="0.25">
      <c r="B32" s="19">
        <f>B31+1</f>
        <v>19</v>
      </c>
      <c r="C32" s="40" t="s">
        <v>61</v>
      </c>
      <c r="D32" s="39" t="s">
        <v>62</v>
      </c>
      <c r="E32" s="25"/>
      <c r="F32" s="26"/>
      <c r="G32" s="25"/>
      <c r="H32" s="26"/>
    </row>
    <row r="33" spans="2:8" ht="28" x14ac:dyDescent="0.25">
      <c r="B33" s="19">
        <f t="shared" ref="B33:B35" si="1">B32+1</f>
        <v>20</v>
      </c>
      <c r="C33" s="40" t="s">
        <v>63</v>
      </c>
      <c r="D33" s="39" t="s">
        <v>64</v>
      </c>
      <c r="E33" s="25"/>
      <c r="F33" s="26"/>
      <c r="G33" s="25"/>
      <c r="H33" s="26"/>
    </row>
    <row r="34" spans="2:8" ht="28" x14ac:dyDescent="0.25">
      <c r="B34" s="19">
        <f t="shared" si="1"/>
        <v>21</v>
      </c>
      <c r="C34" s="40" t="s">
        <v>65</v>
      </c>
      <c r="D34" s="39" t="s">
        <v>66</v>
      </c>
      <c r="E34" s="25"/>
      <c r="F34" s="26"/>
      <c r="G34" s="25"/>
      <c r="H34" s="26"/>
    </row>
    <row r="35" spans="2:8" ht="28" x14ac:dyDescent="0.25">
      <c r="B35" s="19">
        <f t="shared" si="1"/>
        <v>22</v>
      </c>
      <c r="C35" s="40" t="s">
        <v>67</v>
      </c>
      <c r="D35" s="39" t="s">
        <v>68</v>
      </c>
      <c r="E35" s="25"/>
      <c r="F35" s="26"/>
      <c r="G35" s="25"/>
      <c r="H35" s="26"/>
    </row>
    <row r="36" spans="2:8" x14ac:dyDescent="0.25">
      <c r="B36" s="19">
        <f t="shared" si="0"/>
        <v>23</v>
      </c>
      <c r="C36" s="40" t="s">
        <v>69</v>
      </c>
      <c r="D36" s="39" t="s">
        <v>70</v>
      </c>
      <c r="E36" s="25"/>
      <c r="F36" s="26"/>
      <c r="G36" s="25"/>
      <c r="H36" s="26"/>
    </row>
    <row r="37" spans="2:8" ht="28" x14ac:dyDescent="0.25">
      <c r="B37" s="19">
        <f t="shared" si="0"/>
        <v>24</v>
      </c>
      <c r="C37" s="40" t="s">
        <v>71</v>
      </c>
      <c r="D37" s="39"/>
      <c r="E37" s="25"/>
      <c r="F37" s="26"/>
      <c r="G37" s="25"/>
      <c r="H37" s="26"/>
    </row>
    <row r="38" spans="2:8" ht="133.5" customHeight="1" x14ac:dyDescent="0.25">
      <c r="B38" s="19">
        <f>B37+1</f>
        <v>25</v>
      </c>
      <c r="C38" s="38" t="s">
        <v>72</v>
      </c>
      <c r="D38" s="30"/>
      <c r="E38" s="25"/>
      <c r="F38" s="26"/>
      <c r="G38" s="25"/>
      <c r="H38" s="26"/>
    </row>
    <row r="39" spans="2:8" x14ac:dyDescent="0.25">
      <c r="B39" s="19">
        <f t="shared" si="0"/>
        <v>26</v>
      </c>
      <c r="C39" s="38" t="s">
        <v>73</v>
      </c>
      <c r="D39" s="39" t="s">
        <v>74</v>
      </c>
      <c r="E39" s="25"/>
      <c r="F39" s="26"/>
      <c r="G39" s="25"/>
      <c r="H39" s="26"/>
    </row>
    <row r="40" spans="2:8" ht="42" x14ac:dyDescent="0.25">
      <c r="B40" s="19">
        <f t="shared" si="0"/>
        <v>27</v>
      </c>
      <c r="C40" s="34" t="s">
        <v>75</v>
      </c>
      <c r="D40" s="41" t="s">
        <v>76</v>
      </c>
      <c r="E40" s="25"/>
      <c r="F40" s="26"/>
      <c r="G40" s="25"/>
      <c r="H40" s="26"/>
    </row>
    <row r="41" spans="2:8" ht="15" customHeight="1" x14ac:dyDescent="0.25">
      <c r="B41" s="22">
        <f t="shared" si="0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0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x14ac:dyDescent="0.25">
      <c r="B43" s="19">
        <f t="shared" si="0"/>
        <v>30</v>
      </c>
      <c r="C43" s="34" t="s">
        <v>81</v>
      </c>
      <c r="D43" s="30" t="s">
        <v>82</v>
      </c>
      <c r="E43" s="25"/>
      <c r="F43" s="26"/>
      <c r="G43" s="25"/>
      <c r="H43" s="26"/>
    </row>
    <row r="44" spans="2:8" ht="84" x14ac:dyDescent="0.25">
      <c r="B44" s="19">
        <f t="shared" si="0"/>
        <v>31</v>
      </c>
      <c r="C44" s="38" t="s">
        <v>83</v>
      </c>
      <c r="D44" s="30"/>
      <c r="E44" s="25"/>
      <c r="F44" s="26"/>
      <c r="G44" s="25"/>
      <c r="H44" s="26"/>
    </row>
    <row r="45" spans="2:8" ht="28" x14ac:dyDescent="0.25">
      <c r="B45" s="19">
        <f t="shared" si="0"/>
        <v>32</v>
      </c>
      <c r="C45" s="38" t="s">
        <v>84</v>
      </c>
      <c r="D45" s="30" t="s">
        <v>85</v>
      </c>
      <c r="E45" s="25"/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x14ac:dyDescent="0.25">
      <c r="B47" s="19">
        <f>B45+1</f>
        <v>33</v>
      </c>
      <c r="C47" s="38" t="s">
        <v>87</v>
      </c>
      <c r="D47" s="30" t="s">
        <v>88</v>
      </c>
      <c r="E47" s="25"/>
      <c r="F47" s="26"/>
      <c r="G47" s="25"/>
      <c r="H47" s="26"/>
    </row>
    <row r="48" spans="2:8" ht="28" x14ac:dyDescent="0.25">
      <c r="B48" s="27">
        <f t="shared" si="0"/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x14ac:dyDescent="0.25">
      <c r="B49" s="27">
        <f t="shared" si="0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x14ac:dyDescent="0.25">
      <c r="B50" s="27">
        <f t="shared" si="0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0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x14ac:dyDescent="0.25">
      <c r="B52" s="22">
        <f t="shared" si="0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x14ac:dyDescent="0.25">
      <c r="B53" s="22">
        <f t="shared" si="0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x14ac:dyDescent="0.25">
      <c r="B54" s="27">
        <f t="shared" si="0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x14ac:dyDescent="0.25">
      <c r="B56" s="19">
        <f>B54+1</f>
        <v>41</v>
      </c>
      <c r="C56" s="44" t="s">
        <v>104</v>
      </c>
      <c r="D56" s="30" t="s">
        <v>105</v>
      </c>
      <c r="E56" s="25"/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x14ac:dyDescent="0.25">
      <c r="B58" s="19">
        <f>B56+1</f>
        <v>42</v>
      </c>
      <c r="C58" s="34" t="s">
        <v>107</v>
      </c>
      <c r="D58" s="45" t="s">
        <v>108</v>
      </c>
      <c r="E58" s="25" t="s">
        <v>5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x14ac:dyDescent="0.25">
      <c r="B61" s="19">
        <f>B60+1</f>
        <v>44</v>
      </c>
      <c r="C61" s="38" t="s">
        <v>112</v>
      </c>
      <c r="D61" s="48" t="s">
        <v>113</v>
      </c>
      <c r="E61" s="25"/>
      <c r="F61" s="26"/>
      <c r="G61" s="25"/>
      <c r="H61" s="26"/>
    </row>
    <row r="62" spans="2:8" x14ac:dyDescent="0.25">
      <c r="B62" s="19">
        <f t="shared" ref="B62:B100" si="2">B61+1</f>
        <v>45</v>
      </c>
      <c r="C62" s="49" t="s">
        <v>114</v>
      </c>
      <c r="D62" s="39" t="s">
        <v>115</v>
      </c>
      <c r="E62" s="25"/>
      <c r="F62" s="26"/>
      <c r="G62" s="25"/>
      <c r="H62" s="26"/>
    </row>
    <row r="63" spans="2:8" x14ac:dyDescent="0.25">
      <c r="B63" s="19">
        <f t="shared" si="2"/>
        <v>46</v>
      </c>
      <c r="C63" s="49" t="s">
        <v>116</v>
      </c>
      <c r="D63" s="39" t="s">
        <v>115</v>
      </c>
      <c r="E63" s="25"/>
      <c r="F63" s="26"/>
      <c r="G63" s="25"/>
      <c r="H63" s="26"/>
    </row>
    <row r="64" spans="2:8" x14ac:dyDescent="0.25">
      <c r="B64" s="19">
        <f t="shared" si="2"/>
        <v>47</v>
      </c>
      <c r="C64" s="49" t="s">
        <v>117</v>
      </c>
      <c r="D64" s="39" t="s">
        <v>96</v>
      </c>
      <c r="E64" s="25"/>
      <c r="F64" s="26"/>
      <c r="G64" s="25"/>
      <c r="H64" s="26"/>
    </row>
    <row r="65" spans="2:29" x14ac:dyDescent="0.25">
      <c r="B65" s="19">
        <f t="shared" si="2"/>
        <v>48</v>
      </c>
      <c r="C65" s="49" t="s">
        <v>118</v>
      </c>
      <c r="D65" s="39" t="s">
        <v>119</v>
      </c>
      <c r="E65" s="25"/>
      <c r="F65" s="26"/>
      <c r="G65" s="25"/>
      <c r="H65" s="26"/>
    </row>
    <row r="66" spans="2:29" ht="28" x14ac:dyDescent="0.25">
      <c r="B66" s="19">
        <f t="shared" si="2"/>
        <v>49</v>
      </c>
      <c r="C66" s="49" t="s">
        <v>120</v>
      </c>
      <c r="D66" s="39"/>
      <c r="E66" s="25"/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x14ac:dyDescent="0.25">
      <c r="B67" s="19">
        <f t="shared" si="2"/>
        <v>50</v>
      </c>
      <c r="C67" s="38" t="s">
        <v>121</v>
      </c>
      <c r="D67" s="48" t="s">
        <v>122</v>
      </c>
      <c r="E67" s="25"/>
      <c r="F67" s="26"/>
      <c r="G67" s="25"/>
      <c r="H67" s="26"/>
    </row>
    <row r="68" spans="2:29" x14ac:dyDescent="0.25">
      <c r="B68" s="19">
        <f t="shared" si="2"/>
        <v>51</v>
      </c>
      <c r="C68" s="49" t="s">
        <v>114</v>
      </c>
      <c r="D68" s="39" t="s">
        <v>115</v>
      </c>
      <c r="E68" s="25"/>
      <c r="F68" s="26"/>
      <c r="G68" s="25"/>
      <c r="H68" s="26"/>
    </row>
    <row r="69" spans="2:29" x14ac:dyDescent="0.25">
      <c r="B69" s="19">
        <f t="shared" si="2"/>
        <v>52</v>
      </c>
      <c r="C69" s="49" t="s">
        <v>116</v>
      </c>
      <c r="D69" s="39" t="s">
        <v>115</v>
      </c>
      <c r="E69" s="25"/>
      <c r="F69" s="26"/>
      <c r="G69" s="25"/>
      <c r="H69" s="26"/>
    </row>
    <row r="70" spans="2:29" x14ac:dyDescent="0.25">
      <c r="B70" s="19">
        <f t="shared" si="2"/>
        <v>53</v>
      </c>
      <c r="C70" s="49" t="s">
        <v>117</v>
      </c>
      <c r="D70" s="39" t="s">
        <v>96</v>
      </c>
      <c r="E70" s="25"/>
      <c r="F70" s="26"/>
      <c r="G70" s="25"/>
      <c r="H70" s="26"/>
    </row>
    <row r="71" spans="2:29" x14ac:dyDescent="0.25">
      <c r="B71" s="19">
        <f t="shared" si="2"/>
        <v>54</v>
      </c>
      <c r="C71" s="49" t="s">
        <v>118</v>
      </c>
      <c r="D71" s="39" t="s">
        <v>119</v>
      </c>
      <c r="E71" s="25"/>
      <c r="F71" s="26"/>
      <c r="G71" s="25"/>
      <c r="H71" s="26"/>
    </row>
    <row r="72" spans="2:29" ht="28" x14ac:dyDescent="0.25">
      <c r="B72" s="19">
        <f t="shared" si="2"/>
        <v>55</v>
      </c>
      <c r="C72" s="49" t="s">
        <v>120</v>
      </c>
      <c r="D72" s="39"/>
      <c r="E72" s="25"/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x14ac:dyDescent="0.25">
      <c r="B73" s="19">
        <f t="shared" si="2"/>
        <v>56</v>
      </c>
      <c r="C73" s="38" t="s">
        <v>123</v>
      </c>
      <c r="D73" s="48" t="s">
        <v>124</v>
      </c>
      <c r="E73" s="25"/>
      <c r="F73" s="26"/>
      <c r="G73" s="25"/>
      <c r="H73" s="26"/>
    </row>
    <row r="74" spans="2:29" x14ac:dyDescent="0.25">
      <c r="B74" s="19">
        <f t="shared" si="2"/>
        <v>57</v>
      </c>
      <c r="C74" s="49" t="s">
        <v>114</v>
      </c>
      <c r="D74" s="30" t="s">
        <v>115</v>
      </c>
      <c r="E74" s="25"/>
      <c r="F74" s="26"/>
      <c r="G74" s="25"/>
      <c r="H74" s="26"/>
    </row>
    <row r="75" spans="2:29" x14ac:dyDescent="0.25">
      <c r="B75" s="19">
        <f t="shared" si="2"/>
        <v>58</v>
      </c>
      <c r="C75" s="49" t="s">
        <v>116</v>
      </c>
      <c r="D75" s="30" t="s">
        <v>115</v>
      </c>
      <c r="E75" s="25"/>
      <c r="F75" s="26"/>
      <c r="G75" s="25"/>
      <c r="H75" s="26"/>
    </row>
    <row r="76" spans="2:29" x14ac:dyDescent="0.25">
      <c r="B76" s="19">
        <f t="shared" si="2"/>
        <v>59</v>
      </c>
      <c r="C76" s="49" t="s">
        <v>117</v>
      </c>
      <c r="D76" s="30" t="s">
        <v>96</v>
      </c>
      <c r="E76" s="25"/>
      <c r="F76" s="26"/>
      <c r="G76" s="25"/>
      <c r="H76" s="26"/>
    </row>
    <row r="77" spans="2:29" x14ac:dyDescent="0.25">
      <c r="B77" s="19">
        <f t="shared" si="2"/>
        <v>60</v>
      </c>
      <c r="C77" s="49" t="s">
        <v>118</v>
      </c>
      <c r="D77" s="30" t="s">
        <v>119</v>
      </c>
      <c r="E77" s="25"/>
      <c r="F77" s="26"/>
      <c r="G77" s="25"/>
      <c r="H77" s="26"/>
    </row>
    <row r="78" spans="2:29" ht="28" x14ac:dyDescent="0.25">
      <c r="B78" s="19">
        <f t="shared" si="2"/>
        <v>61</v>
      </c>
      <c r="C78" s="49" t="s">
        <v>120</v>
      </c>
      <c r="D78" s="30"/>
      <c r="E78" s="25"/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x14ac:dyDescent="0.25">
      <c r="B79" s="22">
        <f>B78+1</f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2"/>
        <v>63</v>
      </c>
      <c r="C80" s="49" t="s">
        <v>114</v>
      </c>
      <c r="D80" s="30" t="s">
        <v>115</v>
      </c>
      <c r="E80" s="25" t="s">
        <v>5</v>
      </c>
      <c r="F80" s="26"/>
      <c r="G80" s="25"/>
      <c r="H80" s="26"/>
    </row>
    <row r="81" spans="2:29" x14ac:dyDescent="0.25">
      <c r="B81" s="22">
        <f t="shared" si="2"/>
        <v>64</v>
      </c>
      <c r="C81" s="49" t="s">
        <v>116</v>
      </c>
      <c r="D81" s="30" t="s">
        <v>115</v>
      </c>
      <c r="E81" s="25" t="s">
        <v>5</v>
      </c>
      <c r="F81" s="26"/>
      <c r="G81" s="25"/>
      <c r="H81" s="26"/>
    </row>
    <row r="82" spans="2:29" x14ac:dyDescent="0.25">
      <c r="B82" s="22">
        <f t="shared" si="2"/>
        <v>65</v>
      </c>
      <c r="C82" s="49" t="s">
        <v>117</v>
      </c>
      <c r="D82" s="30" t="s">
        <v>96</v>
      </c>
      <c r="E82" s="25" t="s">
        <v>5</v>
      </c>
      <c r="F82" s="26"/>
      <c r="G82" s="25"/>
      <c r="H82" s="26"/>
    </row>
    <row r="83" spans="2:29" x14ac:dyDescent="0.25">
      <c r="B83" s="22">
        <f t="shared" si="2"/>
        <v>66</v>
      </c>
      <c r="C83" s="49" t="s">
        <v>118</v>
      </c>
      <c r="D83" s="30" t="s">
        <v>119</v>
      </c>
      <c r="E83" s="25" t="s">
        <v>5</v>
      </c>
      <c r="F83" s="26"/>
      <c r="G83" s="25"/>
      <c r="H83" s="26"/>
    </row>
    <row r="84" spans="2:29" ht="28" x14ac:dyDescent="0.25">
      <c r="B84" s="22">
        <f t="shared" si="2"/>
        <v>67</v>
      </c>
      <c r="C84" s="49" t="s">
        <v>120</v>
      </c>
      <c r="D84" s="30"/>
      <c r="E84" s="25" t="s">
        <v>5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x14ac:dyDescent="0.25">
      <c r="B86" s="19">
        <f>B84+1</f>
        <v>68</v>
      </c>
      <c r="C86" s="38" t="s">
        <v>128</v>
      </c>
      <c r="D86" s="30" t="s">
        <v>129</v>
      </c>
      <c r="E86" s="25"/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thickBot="1" x14ac:dyDescent="0.3">
      <c r="B87" s="19">
        <f>B86+1</f>
        <v>69</v>
      </c>
      <c r="C87" s="38" t="s">
        <v>130</v>
      </c>
      <c r="D87" s="30" t="s">
        <v>131</v>
      </c>
      <c r="E87" s="25"/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thickBot="1" x14ac:dyDescent="0.3">
      <c r="B88" s="19">
        <f>B87+1</f>
        <v>70</v>
      </c>
      <c r="C88" s="38" t="s">
        <v>132</v>
      </c>
      <c r="D88" s="51" t="s">
        <v>133</v>
      </c>
      <c r="E88" s="25"/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thickBot="1" x14ac:dyDescent="0.3">
      <c r="B89" s="19">
        <f t="shared" si="2"/>
        <v>71</v>
      </c>
      <c r="C89" s="38" t="s">
        <v>134</v>
      </c>
      <c r="D89" s="51" t="s">
        <v>135</v>
      </c>
      <c r="E89" s="25"/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thickBot="1" x14ac:dyDescent="0.3">
      <c r="B90" s="19">
        <f t="shared" si="2"/>
        <v>72</v>
      </c>
      <c r="C90" s="38" t="s">
        <v>136</v>
      </c>
      <c r="D90" s="51" t="s">
        <v>137</v>
      </c>
      <c r="E90" s="25"/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thickBot="1" x14ac:dyDescent="0.3">
      <c r="B91" s="19">
        <f t="shared" si="2"/>
        <v>73</v>
      </c>
      <c r="C91" s="38" t="s">
        <v>138</v>
      </c>
      <c r="D91" s="51" t="s">
        <v>139</v>
      </c>
      <c r="E91" s="25"/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thickBot="1" x14ac:dyDescent="0.3">
      <c r="B92" s="19">
        <f t="shared" si="2"/>
        <v>74</v>
      </c>
      <c r="C92" s="38" t="s">
        <v>140</v>
      </c>
      <c r="D92" s="51" t="s">
        <v>141</v>
      </c>
      <c r="E92" s="25"/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2"/>
        <v>75</v>
      </c>
      <c r="C93" s="38" t="s">
        <v>142</v>
      </c>
      <c r="D93" s="51" t="s">
        <v>143</v>
      </c>
      <c r="E93" s="25"/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2"/>
        <v>76</v>
      </c>
      <c r="C94" s="38" t="s">
        <v>144</v>
      </c>
      <c r="D94" s="51" t="s">
        <v>145</v>
      </c>
      <c r="E94" s="25"/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thickBot="1" x14ac:dyDescent="0.3">
      <c r="B95" s="19">
        <f>B94+1</f>
        <v>77</v>
      </c>
      <c r="C95" s="38" t="s">
        <v>146</v>
      </c>
      <c r="D95" s="51" t="s">
        <v>147</v>
      </c>
      <c r="E95" s="25"/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thickBot="1" x14ac:dyDescent="0.3">
      <c r="B96" s="19">
        <f>B95+1</f>
        <v>78</v>
      </c>
      <c r="C96" s="38" t="s">
        <v>148</v>
      </c>
      <c r="D96" s="51" t="s">
        <v>149</v>
      </c>
      <c r="E96" s="25"/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thickBot="1" x14ac:dyDescent="0.3">
      <c r="B97" s="19">
        <f t="shared" si="2"/>
        <v>79</v>
      </c>
      <c r="C97" s="38" t="s">
        <v>150</v>
      </c>
      <c r="D97" s="51" t="s">
        <v>151</v>
      </c>
      <c r="E97" s="25"/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thickBot="1" x14ac:dyDescent="0.3">
      <c r="B98" s="19">
        <f t="shared" si="2"/>
        <v>80</v>
      </c>
      <c r="C98" s="38" t="s">
        <v>152</v>
      </c>
      <c r="D98" s="51" t="s">
        <v>153</v>
      </c>
      <c r="E98" s="25"/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x14ac:dyDescent="0.25">
      <c r="B99" s="19">
        <f>B98+1</f>
        <v>81</v>
      </c>
      <c r="C99" s="47" t="s">
        <v>154</v>
      </c>
      <c r="D99" s="30" t="s">
        <v>115</v>
      </c>
      <c r="E99" s="25"/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x14ac:dyDescent="0.25">
      <c r="B100" s="19">
        <f t="shared" si="2"/>
        <v>82</v>
      </c>
      <c r="C100" s="47" t="s">
        <v>155</v>
      </c>
      <c r="D100" s="30" t="s">
        <v>115</v>
      </c>
      <c r="E100" s="25"/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x14ac:dyDescent="0.25">
      <c r="B103" s="22">
        <f t="shared" ref="B103:B104" si="3"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 t="shared" si="3"/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1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16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0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20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Todavía faltan puntos por calificar.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06:G107 G11:G20 G22:G27 E106:E107 G102:G104 G86:G100 G47:G54 E22:E27 E11:E20 E47:E54 G58 E58 E30:E45 G30:G45 E56 G56 E60:E84 G60:G84 E86:E100 E102:E104" xr:uid="{03ACBEA4-B033-4F10-A3CE-318CA7FDCB40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 Analista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2026-04-03T23:05:20Z</dcterms:modified>
</cp:coreProperties>
</file>