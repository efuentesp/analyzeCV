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46FF89FE-A516-454F-AA8C-625C23CCD8B1}" xr6:coauthVersionLast="47" xr6:coauthVersionMax="47" xr10:uidLastSave="{00000000-0000-0000-0000-000000000000}"/>
  <bookViews>
    <workbookView xWindow="28680" yWindow="-120" windowWidth="29040" windowHeight="15720" xr2:uid="{6619AB87-14C8-47B4-9B69-EDED2AE6CF23}"/>
  </bookViews>
  <sheets>
    <sheet name="Sheet1" sheetId="1" r:id="rId1"/>
  </sheets>
  <definedNames>
    <definedName name="_xlnm._FilterDatabase" localSheetId="0" hidden="1">Sheet1!$B$6:$H$123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1" i="1" s="1"/>
  <c r="B122" i="1" s="1"/>
  <c r="B123" i="1" s="1"/>
  <c r="B13" i="1" l="1"/>
  <c r="B14" i="1" s="1"/>
  <c r="B15" i="1" s="1"/>
  <c r="B16" i="1" s="1"/>
  <c r="B17" i="1" s="1"/>
  <c r="B18" i="1" s="1"/>
  <c r="B19" i="1" s="1"/>
  <c r="B20" i="1" s="1"/>
  <c r="G132" i="1"/>
  <c r="E132" i="1"/>
  <c r="G131" i="1"/>
  <c r="E131" i="1"/>
  <c r="G130" i="1"/>
  <c r="E130" i="1"/>
  <c r="G127" i="1" l="1"/>
  <c r="E127" i="1"/>
  <c r="E129" i="1" l="1"/>
  <c r="E134" i="1" s="1"/>
  <c r="G129" i="1" l="1"/>
  <c r="G134" i="1" s="1"/>
</calcChain>
</file>

<file path=xl/sharedStrings.xml><?xml version="1.0" encoding="utf-8"?>
<sst xmlns="http://schemas.openxmlformats.org/spreadsheetml/2006/main" count="356" uniqueCount="196">
  <si>
    <r>
      <rPr>
        <sz val="8"/>
        <rFont val="Microsoft Uighur"/>
        <charset val="178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</si>
  <si>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</si>
  <si>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</si>
  <si>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</si>
  <si>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</si>
  <si>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</si>
  <si>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</si>
  <si>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</si>
  <si>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</si>
  <si>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</si>
  <si>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t>17-03-2026</t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</si>
  <si>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</si>
  <si>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</si>
  <si>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</si>
  <si>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</si>
  <si>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</si>
  <si>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</si>
  <si>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</si>
  <si>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</si>
  <si>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</si>
  <si>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Detalle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</si>
  <si>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</si>
  <si>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</si>
  <si>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t>Por lo pronto no se va a colocar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</si>
  <si>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</si>
  <si>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</si>
  <si>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</si>
  <si>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</si>
  <si>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</si>
  <si>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</si>
  <si>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</si>
  <si>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</si>
  <si>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t>Datos Personales</t>
  </si>
  <si>
    <t>Coincidencias en CV para: cinco años, al menos cinco años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</si>
  <si>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</si>
  <si>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</si>
  <si>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t>Se colocará justo antes de hacer la entrega. Debe ser el corporativo</t>
  </si>
  <si>
    <t>No se coloca esta sección por el momento</t>
  </si>
  <si>
    <t>Femenino / Masculino</t>
  </si>
  <si>
    <t>Formato día/mes/año (si aplica)</t>
  </si>
  <si>
    <t>Esto aplica si nos piden la identificación oficial</t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</si>
  <si>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</si>
  <si>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</si>
  <si>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</si>
  <si>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</si>
  <si>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t>Esta clara en el CV</t>
  </si>
  <si>
    <t>Los periodos de trabajo descritos en el CV suman la experiencia solicitada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</si>
  <si>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</si>
  <si>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</si>
  <si>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y firmado por el representante o apoderado legal del Licitante para participar en el presente procedimiento de contratación</t>
  </si>
  <si>
    <t>El CV debe ser redactado como si el candidato/recurso humano lo estuviera presentando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</si>
  <si>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</si>
  <si>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</si>
  <si>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</si>
  <si>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</si>
  <si>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</si>
  <si>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</si>
  <si>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</si>
  <si>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</si>
  <si>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</si>
  <si>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</si>
  <si>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</si>
  <si>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t>CDMX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</si>
  <si>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</si>
  <si>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</si>
  <si>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</si>
  <si>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</si>
  <si>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</si>
  <si>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r>
      <t xml:space="preserve">¿El candidato cuenta con certificaciones </t>
    </r>
    <r>
      <rPr>
        <b/>
        <sz val="9"/>
        <color theme="1"/>
        <rFont val="Segoe UI"/>
        <family val="2"/>
      </rPr>
      <t>requeridas</t>
    </r>
    <r>
      <rPr>
        <sz val="9"/>
        <color theme="1"/>
        <rFont val="Segoe UI"/>
        <family val="2"/>
      </rPr>
      <t>?</t>
    </r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</si>
  <si>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</si>
  <si>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</si>
  <si>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</si>
  <si>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Certificaciones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</si>
  <si>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</si>
  <si>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Se hizo la consulta en la entidad oficial</t>
  </si>
  <si>
    <t>A partir de que inicie son 24 meses = 731 días naturales</t>
  </si>
  <si>
    <t>Cursos</t>
  </si>
  <si>
    <t xml:space="preserve">Evidencias escaneadas digitalizadas. 
Coincidencia en nombre entre CV y documentos
SAT podra cotejar validez con las instituciones que imparten los cursos </t>
  </si>
  <si>
    <t>En caso de que no, incluir la traducción simple</t>
  </si>
  <si>
    <t>Domino de herramientas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</si>
  <si>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</si>
  <si>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</si>
  <si>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</si>
  <si>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</si>
  <si>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</si>
  <si>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t>Hasta que no se nos solicite explicitamente en la licitación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</si>
  <si>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</si>
  <si>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</si>
  <si>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</si>
  <si>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</si>
  <si>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</si>
  <si>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</si>
  <si>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</si>
  <si>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</si>
  <si>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</si>
  <si>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r>
      <t xml:space="preserve">¿Las </t>
    </r>
    <r>
      <rPr>
        <b/>
        <sz val="9"/>
        <rFont val="Segoe UI"/>
        <family val="2"/>
      </rPr>
      <t>constancias de cursos</t>
    </r>
    <r>
      <rPr>
        <sz val="9"/>
        <rFont val="Segoe UI"/>
        <family val="2"/>
      </rPr>
      <t xml:space="preserve"> están </t>
    </r>
    <r>
      <rPr>
        <b/>
        <sz val="9"/>
        <rFont val="Segoe UI"/>
        <family val="2"/>
      </rPr>
      <t>digitalizadas</t>
    </r>
    <r>
      <rPr>
        <sz val="9"/>
        <rFont val="Segoe UI"/>
        <family val="2"/>
      </rPr>
      <t xml:space="preserve">, con </t>
    </r>
    <r>
      <rPr>
        <b/>
        <sz val="9"/>
        <rFont val="Segoe UI"/>
        <family val="2"/>
      </rPr>
      <t>nombre coincidente</t>
    </r>
    <r>
      <rPr>
        <sz val="9"/>
        <rFont val="Segoe UI"/>
        <family val="2"/>
      </rPr>
      <t xml:space="preserve"> y listas para </t>
    </r>
    <r>
      <rPr>
        <b/>
        <sz val="9"/>
        <rFont val="Segoe UI"/>
        <family val="2"/>
      </rPr>
      <t>cotejo</t>
    </r>
    <r>
      <rPr>
        <sz val="9"/>
        <rFont val="Segoe UI"/>
        <family val="2"/>
      </rPr>
      <t>?</t>
    </r>
  </si>
  <si>
    <r>
      <t xml:space="preserve">¿La </t>
    </r>
    <r>
      <rPr>
        <b/>
        <sz val="9"/>
        <rFont val="Segoe UI"/>
        <family val="2"/>
      </rPr>
      <t>fecha de emisión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 xml:space="preserve">curso </t>
    </r>
    <r>
      <rPr>
        <sz val="9"/>
        <rFont val="Segoe UI"/>
        <family val="2"/>
      </rPr>
      <t>está registrada?</t>
    </r>
  </si>
  <si>
    <r>
      <t xml:space="preserve">¿El </t>
    </r>
    <r>
      <rPr>
        <b/>
        <sz val="9"/>
        <rFont val="Segoe UI"/>
        <family val="2"/>
      </rPr>
      <t>nombre</t>
    </r>
    <r>
      <rPr>
        <sz val="9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</si>
  <si>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rFont val="Segoe UI"/>
        <family val="2"/>
      </rPr>
      <t>constancia digitalizada</t>
    </r>
    <r>
      <rPr>
        <sz val="9"/>
        <rFont val="Segoe UI"/>
        <family val="2"/>
      </rPr>
      <t xml:space="preserve"> del curso?</t>
    </r>
  </si>
  <si>
    <r>
      <t xml:space="preserve">¿La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está en </t>
    </r>
    <r>
      <rPr>
        <b/>
        <sz val="9"/>
        <rFont val="Segoe UI"/>
        <family val="2"/>
      </rPr>
      <t>español</t>
    </r>
    <r>
      <rPr>
        <sz val="9"/>
        <rFont val="Segoe UI"/>
        <family val="2"/>
      </rPr>
      <t xml:space="preserve"> o incluye </t>
    </r>
    <r>
      <rPr>
        <b/>
        <sz val="9"/>
        <rFont val="Segoe UI"/>
        <family val="2"/>
      </rPr>
      <t>traducción simple</t>
    </r>
    <r>
      <rPr>
        <sz val="9"/>
        <rFont val="Segoe UI"/>
        <family val="2"/>
      </rPr>
      <t>?</t>
    </r>
  </si>
  <si>
    <r>
      <t xml:space="preserve">¿El CV o la constancia especifican el </t>
    </r>
    <r>
      <rPr>
        <b/>
        <sz val="9"/>
        <rFont val="Segoe UI"/>
        <family val="2"/>
      </rPr>
      <t>nivel</t>
    </r>
    <r>
      <rPr>
        <sz val="9"/>
        <rFont val="Segoe UI"/>
        <family val="2"/>
      </rPr>
      <t xml:space="preserve"> del curso (</t>
    </r>
    <r>
      <rPr>
        <b/>
        <sz val="9"/>
        <rFont val="Segoe UI"/>
        <family val="2"/>
      </rPr>
      <t>básico/intermedio/avanzado</t>
    </r>
    <r>
      <rPr>
        <sz val="9"/>
        <rFont val="Segoe UI"/>
        <family val="2"/>
      </rPr>
      <t>)?</t>
    </r>
  </si>
  <si>
    <t>Tester</t>
  </si>
  <si>
    <t>La ortografía es impecable</t>
  </si>
  <si>
    <t>Se ha aplicado el autocorrector</t>
  </si>
  <si>
    <t>Curriculum Vitae</t>
  </si>
  <si>
    <t>Se indica el Titulo Curriculum Vitae en negritas y centrado</t>
  </si>
  <si>
    <r>
      <t xml:space="preserve">¿El </t>
    </r>
    <r>
      <rPr>
        <b/>
        <sz val="9"/>
        <color rgb="FF000000"/>
        <rFont val="Segoe UI"/>
        <family val="2"/>
      </rPr>
      <t>rol</t>
    </r>
    <r>
      <rPr>
        <sz val="9"/>
        <color rgb="FF000000"/>
        <rFont val="Segoe UI"/>
        <family val="2"/>
      </rPr>
      <t xml:space="preserve"> del CV es exactamente </t>
    </r>
    <r>
      <rPr>
        <b/>
        <sz val="9"/>
        <color rgb="FF000000"/>
        <rFont val="Segoe UI"/>
        <family val="2"/>
      </rPr>
      <t>“Tester”</t>
    </r>
    <r>
      <rPr>
        <sz val="9"/>
        <color rgb="FF000000"/>
        <rFont val="Segoe UI"/>
        <family val="2"/>
      </rPr>
      <t xml:space="preserve"> y el </t>
    </r>
    <r>
      <rPr>
        <b/>
        <sz val="9"/>
        <color rgb="FF000000"/>
        <rFont val="Segoe UI"/>
        <family val="2"/>
      </rPr>
      <t>identificador</t>
    </r>
    <r>
      <rPr>
        <sz val="9"/>
        <color rgb="FF000000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</si>
  <si>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</t>
  </si>
  <si>
    <t>A. 1. Cobertura laboral estándar - Lun–Vie, 08:30–18:00</t>
  </si>
  <si>
    <r>
      <t xml:space="preserve">¿El </t>
    </r>
    <r>
      <rPr>
        <b/>
        <sz val="9"/>
        <color rgb="FF000000"/>
        <rFont val="Segoe UI"/>
        <family val="2"/>
      </rPr>
      <t>correo electrónico</t>
    </r>
    <r>
      <rPr>
        <sz val="9"/>
        <color rgb="FF000000"/>
        <rFont val="Segoe UI"/>
        <family val="2"/>
      </rPr>
      <t xml:space="preserve"> consignado en el CV es </t>
    </r>
    <r>
      <rPr>
        <b/>
        <sz val="9"/>
        <color rgb="FF000000"/>
        <rFont val="Segoe UI"/>
        <family val="2"/>
      </rPr>
      <t>corporativo</t>
    </r>
    <r>
      <rPr>
        <sz val="9"/>
        <color rgb="FF000000"/>
        <rFont val="Segoe UI"/>
        <family val="2"/>
      </rPr>
      <t xml:space="preserve"> y válido?</t>
    </r>
  </si>
  <si>
    <r>
      <t xml:space="preserve">¿El campo </t>
    </r>
    <r>
      <rPr>
        <b/>
        <sz val="9"/>
        <color rgb="FF000000"/>
        <rFont val="Segoe UI"/>
        <family val="2"/>
      </rPr>
      <t>Género</t>
    </r>
    <r>
      <rPr>
        <sz val="9"/>
        <color rgb="FF000000"/>
        <rFont val="Segoe UI"/>
        <family val="2"/>
      </rPr>
      <t xml:space="preserve"> está correctamente consignado si es requerido por la plantilla?</t>
    </r>
  </si>
  <si>
    <r>
      <t xml:space="preserve">¿La </t>
    </r>
    <r>
      <rPr>
        <b/>
        <sz val="9"/>
        <color rgb="FF000000"/>
        <rFont val="Segoe UI"/>
        <family val="2"/>
      </rPr>
      <t>fecha de nacimiento</t>
    </r>
    <r>
      <rPr>
        <sz val="9"/>
        <color rgb="FF000000"/>
        <rFont val="Segoe UI"/>
        <family val="2"/>
      </rPr>
      <t xml:space="preserve"> está completa y en formato día/mes/año?</t>
    </r>
  </si>
  <si>
    <r>
      <t xml:space="preserve">¿El </t>
    </r>
    <r>
      <rPr>
        <b/>
        <sz val="9"/>
        <color rgb="FF000000"/>
        <rFont val="Segoe UI"/>
        <family val="2"/>
      </rPr>
      <t>RFC</t>
    </r>
    <r>
      <rPr>
        <sz val="9"/>
        <color rgb="FF000000"/>
        <rFont val="Segoe UI"/>
        <family val="2"/>
      </rPr>
      <t xml:space="preserve"> del candidato es correcto y coincide con sus documentos oficiales?</t>
    </r>
  </si>
  <si>
    <r>
      <t xml:space="preserve">¿La </t>
    </r>
    <r>
      <rPr>
        <b/>
        <sz val="9"/>
        <color rgb="FF000000"/>
        <rFont val="Segoe UI"/>
        <family val="2"/>
      </rPr>
      <t>CURP</t>
    </r>
    <r>
      <rPr>
        <sz val="9"/>
        <color rgb="FF000000"/>
        <rFont val="Segoe UI"/>
        <family val="2"/>
      </rPr>
      <t xml:space="preserve"> del candidato es correcta y coincide con sus documentos oficiales?</t>
    </r>
  </si>
  <si>
    <r>
      <t xml:space="preserve">¿Ha construido </t>
    </r>
    <r>
      <rPr>
        <b/>
        <sz val="9"/>
        <color rgb="FF000000"/>
        <rFont val="Segoe UI"/>
        <family val="2"/>
      </rPr>
      <t>Plan de Pruebas</t>
    </r>
    <r>
      <rPr>
        <sz val="9"/>
        <color rgb="FF000000"/>
        <rFont val="Segoe UI"/>
        <family val="2"/>
      </rPr>
      <t xml:space="preserve"> y </t>
    </r>
    <r>
      <rPr>
        <b/>
        <sz val="9"/>
        <color rgb="FF000000"/>
        <rFont val="Segoe UI"/>
        <family val="2"/>
      </rPr>
      <t>Matriz de Trazabilidad</t>
    </r>
    <r>
      <rPr>
        <sz val="9"/>
        <color rgb="FF000000"/>
        <rFont val="Segoe UI"/>
        <family val="2"/>
      </rPr>
      <t xml:space="preserve"> (requisito→caso→resultado)?</t>
    </r>
  </si>
  <si>
    <t>Plan + Matriz</t>
  </si>
  <si>
    <r>
      <t xml:space="preserve">¿Ha </t>
    </r>
    <r>
      <rPr>
        <b/>
        <sz val="9"/>
        <color rgb="FF000000"/>
        <rFont val="Segoe UI"/>
        <family val="2"/>
      </rPr>
      <t>elaborado</t>
    </r>
    <r>
      <rPr>
        <sz val="9"/>
        <color rgb="FF000000"/>
        <rFont val="Segoe UI"/>
        <family val="2"/>
      </rPr>
      <t xml:space="preserve"> Casos de prueba </t>
    </r>
    <r>
      <rPr>
        <b/>
        <sz val="9"/>
        <color rgb="FF000000"/>
        <rFont val="Segoe UI"/>
        <family val="2"/>
      </rPr>
      <t>detallados</t>
    </r>
    <r>
      <rPr>
        <sz val="9"/>
        <color rgb="FF000000"/>
        <rFont val="Segoe UI"/>
        <family val="2"/>
      </rPr>
      <t xml:space="preserve"> con pasos, datos, precondiciones, postcondiciones y criterios de aceptación. ?</t>
    </r>
  </si>
  <si>
    <t>Casos de prueba</t>
  </si>
  <si>
    <r>
      <t xml:space="preserve">¿Ha ejecutado </t>
    </r>
    <r>
      <rPr>
        <b/>
        <sz val="9"/>
        <color rgb="FF000000"/>
        <rFont val="Segoe UI"/>
        <family val="2"/>
      </rPr>
      <t>funcionales/integ./regresión/desempeño</t>
    </r>
    <r>
      <rPr>
        <sz val="9"/>
        <color rgb="FF000000"/>
        <rFont val="Segoe UI"/>
        <family val="2"/>
      </rPr>
      <t xml:space="preserve"> con reportes y métricas?</t>
    </r>
  </si>
  <si>
    <t>Reportes + KPIs</t>
  </si>
  <si>
    <r>
      <t xml:space="preserve">¿Ha coordinado </t>
    </r>
    <r>
      <rPr>
        <b/>
        <sz val="9"/>
        <color rgb="FF000000"/>
        <rFont val="Segoe UI"/>
        <family val="2"/>
      </rPr>
      <t>SAST/DAST</t>
    </r>
    <r>
      <rPr>
        <sz val="9"/>
        <color rgb="FF000000"/>
        <rFont val="Segoe UI"/>
        <family val="2"/>
      </rPr>
      <t xml:space="preserve"> con desarrollo/seguridad hasta VoBo “cero bloqueantes/críticos/altos”?</t>
    </r>
  </si>
  <si>
    <t>Reportes + VoBo</t>
  </si>
  <si>
    <r>
      <t xml:space="preserve">¿Ha preparado </t>
    </r>
    <r>
      <rPr>
        <b/>
        <sz val="9"/>
        <color rgb="FF000000"/>
        <rFont val="Segoe UI"/>
        <family val="2"/>
      </rPr>
      <t>evidencias</t>
    </r>
    <r>
      <rPr>
        <sz val="9"/>
        <color rgb="FF000000"/>
        <rFont val="Segoe UI"/>
        <family val="2"/>
      </rPr>
      <t xml:space="preserve"> (capturas, logs, actas) para </t>
    </r>
    <r>
      <rPr>
        <b/>
        <sz val="9"/>
        <color rgb="FF000000"/>
        <rFont val="Segoe UI"/>
        <family val="2"/>
      </rPr>
      <t>carpetas</t>
    </r>
    <r>
      <rPr>
        <sz val="9"/>
        <color rgb="FF000000"/>
        <rFont val="Segoe UI"/>
        <family val="2"/>
      </rPr>
      <t xml:space="preserve"> y dictamen?</t>
    </r>
  </si>
  <si>
    <t>Evidencias + check</t>
  </si>
  <si>
    <r>
      <t xml:space="preserve">¿Ha soportado </t>
    </r>
    <r>
      <rPr>
        <b/>
        <sz val="9"/>
        <color rgb="FF000000"/>
        <rFont val="Segoe UI"/>
        <family val="2"/>
      </rPr>
      <t>UAT</t>
    </r>
    <r>
      <rPr>
        <sz val="9"/>
        <color rgb="FF000000"/>
        <rFont val="Segoe UI"/>
        <family val="2"/>
      </rPr>
      <t xml:space="preserve"> con usuarios y registrado resultados/VoBo?</t>
    </r>
  </si>
  <si>
    <t>Actas/VoBo</t>
  </si>
  <si>
    <r>
      <t xml:space="preserve">¿La experiencia suma </t>
    </r>
    <r>
      <rPr>
        <b/>
        <sz val="9"/>
        <color rgb="FF000000"/>
        <rFont val="Segoe UI"/>
        <family val="2"/>
      </rPr>
      <t>≥2 años</t>
    </r>
    <r>
      <rPr>
        <sz val="9"/>
        <color rgb="FF000000"/>
        <rFont val="Segoe UI"/>
        <family val="2"/>
      </rPr>
      <t xml:space="preserve"> en </t>
    </r>
    <r>
      <rPr>
        <b/>
        <sz val="9"/>
        <color rgb="FF000000"/>
        <rFont val="Segoe UI"/>
        <family val="2"/>
      </rPr>
      <t xml:space="preserve"> pruebas de software</t>
    </r>
    <r>
      <rPr>
        <sz val="9"/>
        <color rgb="FF000000"/>
        <rFont val="Segoe UI"/>
        <family val="2"/>
      </rPr>
      <t>?</t>
    </r>
  </si>
  <si>
    <t>¿La primera sección de experiencia declara explícitamente: Al menos 2 años   de experiencia en pruebas de software de preferencia en proyectos/servicios grandes o criticos?</t>
  </si>
  <si>
    <t>Para el rol del Tester
Al menos 2 años de experiencia en pruebas de software</t>
  </si>
  <si>
    <t xml:space="preserve">
¿El CV evidencia que el candidato planifica, diseña y ejecuta pruebas para verificar el cumplimiento de los requerimientos funcionales y la liberación “sin fallas”, utilizando una matriz de pruebas/resultado (RDP- Matriz de trazabilidad) que asegure la trazabilidad (requisito → caso → resultado → evidencia) del software construido?</t>
  </si>
  <si>
    <t>Supervisar que se cumplan los requerimientos funcionales establecidos para el producto y que el mismo esté libre de fallas, por medio de la planeación y ejecución de las pruebas a través de una matriz que permita de manera particular probar el software construido (RDP).
Habilidades en:
Habilidades técnicas en metodologías de pruebas
Pensamiento Lógico
Habilidades de comunicación
Atención al detalle
Adaptabilidad y flexibilidad</t>
  </si>
  <si>
    <r>
      <t xml:space="preserve">¿La cronología de </t>
    </r>
    <r>
      <rPr>
        <b/>
        <sz val="9"/>
        <color rgb="FF000000"/>
        <rFont val="Segoe UI"/>
        <family val="2"/>
      </rPr>
      <t>periodos laborales</t>
    </r>
    <r>
      <rPr>
        <sz val="9"/>
        <color rgb="FF000000"/>
        <rFont val="Segoe UI"/>
        <family val="2"/>
      </rPr>
      <t xml:space="preserve"> suma </t>
    </r>
    <r>
      <rPr>
        <b/>
        <sz val="9"/>
        <color rgb="FF000000"/>
        <rFont val="Segoe UI"/>
        <family val="2"/>
      </rPr>
      <t>al menos</t>
    </r>
    <r>
      <rPr>
        <sz val="9"/>
        <color rgb="FF000000"/>
        <rFont val="Segoe UI"/>
        <family val="2"/>
      </rPr>
      <t xml:space="preserve"> los </t>
    </r>
    <r>
      <rPr>
        <b/>
        <sz val="9"/>
        <color rgb="FF000000"/>
        <rFont val="Segoe UI"/>
        <family val="2"/>
      </rPr>
      <t>2 años</t>
    </r>
    <r>
      <rPr>
        <sz val="9"/>
        <color rgb="FF000000"/>
        <rFont val="Segoe UI"/>
        <family val="2"/>
      </rPr>
      <t xml:space="preserve"> requeridos?</t>
    </r>
  </si>
  <si>
    <r>
      <t xml:space="preserve">¿Las </t>
    </r>
    <r>
      <rPr>
        <b/>
        <sz val="9"/>
        <color rgb="FF000000"/>
        <rFont val="Segoe UI"/>
        <family val="2"/>
      </rPr>
      <t>fechas</t>
    </r>
    <r>
      <rPr>
        <sz val="9"/>
        <color rgb="FF000000"/>
        <rFont val="Segoe UI"/>
        <family val="2"/>
      </rPr>
      <t xml:space="preserve"> desde/hasta son </t>
    </r>
    <r>
      <rPr>
        <b/>
        <sz val="9"/>
        <color rgb="FF000000"/>
        <rFont val="Segoe UI"/>
        <family val="2"/>
      </rPr>
      <t>congruentes</t>
    </r>
    <r>
      <rPr>
        <sz val="9"/>
        <color rgb="FF000000"/>
        <rFont val="Segoe UI"/>
        <family val="2"/>
      </rPr>
      <t xml:space="preserve"> (sin traslapes y con formato uniforme)?</t>
    </r>
  </si>
  <si>
    <r>
      <t xml:space="preserve">¿El CV está </t>
    </r>
    <r>
      <rPr>
        <b/>
        <sz val="9"/>
        <color rgb="FF000000"/>
        <rFont val="Segoe UI"/>
        <family val="2"/>
      </rPr>
      <t>firmado</t>
    </r>
    <r>
      <rPr>
        <sz val="9"/>
        <color rgb="FF000000"/>
        <rFont val="Segoe UI"/>
        <family val="2"/>
      </rPr>
      <t xml:space="preserve"> por el </t>
    </r>
    <r>
      <rPr>
        <b/>
        <sz val="9"/>
        <color rgb="FF000000"/>
        <rFont val="Segoe UI"/>
        <family val="2"/>
      </rPr>
      <t>candidato</t>
    </r>
    <r>
      <rPr>
        <sz val="9"/>
        <color rgb="FF000000"/>
        <rFont val="Segoe UI"/>
        <family val="2"/>
      </rPr>
      <t>?</t>
    </r>
  </si>
  <si>
    <r>
      <t xml:space="preserve">¿El CV está </t>
    </r>
    <r>
      <rPr>
        <b/>
        <sz val="9"/>
        <color rgb="FF000000"/>
        <rFont val="Segoe UI"/>
        <family val="2"/>
      </rPr>
      <t>firmado</t>
    </r>
    <r>
      <rPr>
        <sz val="9"/>
        <color rgb="FF000000"/>
        <rFont val="Segoe UI"/>
        <family val="2"/>
      </rPr>
      <t xml:space="preserve"> por el </t>
    </r>
    <r>
      <rPr>
        <b/>
        <sz val="9"/>
        <color rgb="FF000000"/>
        <rFont val="Segoe UI"/>
        <family val="2"/>
      </rPr>
      <t>representante/apoderado legal</t>
    </r>
    <r>
      <rPr>
        <sz val="9"/>
        <color rgb="FF000000"/>
        <rFont val="Segoe UI"/>
        <family val="2"/>
      </rPr>
      <t xml:space="preserve"> del licitante?</t>
    </r>
  </si>
  <si>
    <r>
      <t xml:space="preserve">¿El CV está redactado en </t>
    </r>
    <r>
      <rPr>
        <b/>
        <sz val="9"/>
        <color rgb="FF000000"/>
        <rFont val="Segoe UI"/>
        <family val="2"/>
      </rPr>
      <t>primera persona</t>
    </r>
    <r>
      <rPr>
        <sz val="9"/>
        <color rgb="FF000000"/>
        <rFont val="Segoe UI"/>
        <family val="2"/>
      </rPr>
      <t xml:space="preserve"> (cuando así lo establece la guía)?</t>
    </r>
  </si>
  <si>
    <t>¿El CV documenta muestra experiencia en habilidades en:
Habilidades técnicas en metodologías de pruebas
Pensamiento Lógico
Habilidades de comunicación
Atención al detalle
Adaptabilidad y flexibilidad?</t>
  </si>
  <si>
    <t>¿El CV presenta numeralia (número de casos de prueba diseñados/ejecutados, tipos de pruebas realizadas, ciclos o iteraciones completadas, cantidad de defectos detectados/corregidos, severidades manejadas, porcentaje de cobertura, herramientas de pruebas utilizadas, ambientes validados y participación en UAT) que permita contextualizar el alcance y complejidad de las actividades de pruebas que ha realizado?</t>
  </si>
  <si>
    <t>• Nº casos de prueba diseñados/ejecutados • Tipos de prueba: funcional, integración, regresión, UAT, desempeño • Nº de ciclos/iteraciones validados • Nº de defectos detectados y cerrados, incluyendo severidades (B/C/A/M/B) • % de cobertura de pruebas • Herramientas usadas (GitLab issues, matrices, SonarQube para SAST, DAST, etc.) • Ambientes validados (INT/UAT/Pre‑PROD)</t>
  </si>
  <si>
    <t xml:space="preserve">Acreditar la competencia señalada 
Estudios nivel superior acreditable de nivel licenciatura o ingeniería
</t>
  </si>
  <si>
    <t>Computación e Informática, Administración, Informática Administrativa, Matemáticas-Actuaría, Física, Contaduría, Sistemas y Calidad.</t>
  </si>
  <si>
    <t>no es requerido</t>
  </si>
  <si>
    <t xml:space="preserve">Aparece la firma del candidato al final. </t>
  </si>
  <si>
    <t xml:space="preserve">Aparece representante legal (BFS Ingeniería). </t>
  </si>
  <si>
    <r>
      <t xml:space="preserve">Acreditar conocimiento comprobable </t>
    </r>
    <r>
      <rPr>
        <b/>
        <sz val="9"/>
        <color theme="1"/>
        <rFont val="Segoe UI"/>
        <family val="2"/>
      </rPr>
      <t>en al menos uno</t>
    </r>
    <r>
      <rPr>
        <sz val="9"/>
        <color theme="1"/>
        <rFont val="Segoe UI"/>
        <family val="2"/>
      </rPr>
      <t xml:space="preserve"> de los siguientes temas:
SCRUM
Metodologías de pruebas. (caja blanca, negra, gris, automatizadas)
Aplicativos y técnicas de pruebas (unitarias, integración, regresión</t>
    </r>
  </si>
  <si>
    <r>
      <t xml:space="preserve">Conocimiento comprobable en al menos uno de los siguientes temas:
</t>
    </r>
    <r>
      <rPr>
        <b/>
        <sz val="9"/>
        <rFont val="Segoe UI"/>
        <family val="2"/>
      </rPr>
      <t>SCRUM</t>
    </r>
    <r>
      <rPr>
        <sz val="9"/>
        <rFont val="Segoe UI"/>
        <family val="2"/>
      </rPr>
      <t xml:space="preserve">
</t>
    </r>
    <r>
      <rPr>
        <b/>
        <sz val="9"/>
        <rFont val="Segoe UI"/>
        <family val="2"/>
      </rPr>
      <t>Metodologías de pruebas.</t>
    </r>
    <r>
      <rPr>
        <sz val="9"/>
        <rFont val="Segoe UI"/>
        <family val="2"/>
      </rPr>
      <t xml:space="preserve"> (caja blanca, negra, gris, automatizadas)
</t>
    </r>
    <r>
      <rPr>
        <b/>
        <sz val="9"/>
        <rFont val="Segoe UI"/>
        <family val="2"/>
      </rPr>
      <t>Aplicativos y técnicas de pruebas</t>
    </r>
    <r>
      <rPr>
        <sz val="9"/>
        <rFont val="Segoe UI"/>
        <family val="2"/>
      </rPr>
      <t xml:space="preserve"> (unitarias, integración, regresión
</t>
    </r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</si>
  <si>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 o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</si>
  <si>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 xml:space="preserve">La certificación 1 es legible y vigente </t>
  </si>
  <si>
    <t>El documento oficial de cada certificado está en el repositorio
Especificar ¿cuál es?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</si>
  <si>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</si>
  <si>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</si>
  <si>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</si>
  <si>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</si>
  <si>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 xml:space="preserve">La certificación 2 es legible y vigente </t>
  </si>
  <si>
    <t xml:space="preserve">La certificación 3 es legible y vigente </t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</si>
  <si>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 </t>
    </r>
    <r>
      <rPr>
        <b/>
        <sz val="9"/>
        <rFont val="Segoe UI"/>
        <family val="2"/>
      </rPr>
      <t>cursos</t>
    </r>
    <r>
      <rPr>
        <sz val="9"/>
        <rFont val="Segoe UI"/>
        <family val="2"/>
      </rPr>
      <t xml:space="preserve"> de</t>
    </r>
    <r>
      <rPr>
        <b/>
        <sz val="9"/>
        <rFont val="Segoe UI"/>
        <family val="2"/>
      </rPr>
      <t xml:space="preserve"> SCRUM</t>
    </r>
    <r>
      <rPr>
        <sz val="9"/>
        <rFont val="Segoe UI"/>
        <family val="2"/>
      </rPr>
      <t>?</t>
    </r>
  </si>
  <si>
    <r>
      <rPr>
        <b/>
        <sz val="9"/>
        <rFont val="Segoe UI"/>
        <family val="2"/>
      </rPr>
      <t>SCRUM</t>
    </r>
    <r>
      <rPr>
        <sz val="9"/>
        <rFont val="Segoe UI"/>
        <family val="2"/>
      </rPr>
      <t xml:space="preserve">
(Conocimiento comprobable en al menos uno 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</si>
  <si>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 </t>
    </r>
    <r>
      <rPr>
        <b/>
        <sz val="9"/>
        <rFont val="Segoe UI"/>
        <family val="2"/>
      </rPr>
      <t>cursos de Metodologías de pruebas</t>
    </r>
    <r>
      <rPr>
        <sz val="9"/>
        <rFont val="Segoe UI"/>
        <family val="2"/>
      </rPr>
      <t>?</t>
    </r>
  </si>
  <si>
    <r>
      <rPr>
        <b/>
        <sz val="9"/>
        <rFont val="Segoe UI"/>
        <family val="2"/>
      </rPr>
      <t>Metodologías de pruebas</t>
    </r>
    <r>
      <rPr>
        <sz val="9"/>
        <rFont val="Segoe UI"/>
        <family val="2"/>
      </rPr>
      <t>. (caja blanca, negra, gris, automatizadas)
(Conocimiento comprobable en al menos uno )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</si>
  <si>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 </t>
    </r>
    <r>
      <rPr>
        <b/>
        <sz val="9"/>
        <rFont val="Segoe UI"/>
        <family val="2"/>
      </rPr>
      <t>cursos de Aplicativos y técnicas de pruebas</t>
    </r>
  </si>
  <si>
    <r>
      <rPr>
        <b/>
        <sz val="9"/>
        <rFont val="Segoe UI"/>
        <family val="2"/>
      </rPr>
      <t>Aplicativos y técnicas de pruebas</t>
    </r>
    <r>
      <rPr>
        <sz val="9"/>
        <rFont val="Segoe UI"/>
        <family val="2"/>
      </rPr>
      <t xml:space="preserve"> (unitarias, integración, regresión
(Conocimiento comprobable en al menos uno )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</si>
  <si>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 OTROS </t>
    </r>
    <r>
      <rPr>
        <b/>
        <sz val="9"/>
        <rFont val="Segoe UI"/>
        <family val="2"/>
      </rPr>
      <t xml:space="preserve">cursos </t>
    </r>
    <r>
      <rPr>
        <sz val="9"/>
        <rFont val="Segoe UI"/>
        <family val="2"/>
      </rPr>
      <t>?</t>
    </r>
  </si>
  <si>
    <t>Especificar cuál</t>
  </si>
  <si>
    <r>
      <t xml:space="preserve">¿El CV evidencia dominio de herramientas para elaborar el </t>
    </r>
    <r>
      <rPr>
        <b/>
        <sz val="9"/>
        <color theme="1"/>
        <rFont val="Segoe UI"/>
        <family val="2"/>
      </rPr>
      <t>Plan de Pruebas (plantilla institucional, criterios de entrada/salida, riesgos, alcance)?</t>
    </r>
  </si>
  <si>
    <t>Plan de Pruebas real; plantilla institucional; criterios definidos</t>
  </si>
  <si>
    <r>
      <t xml:space="preserve">¿Utiliza herramientas para construir </t>
    </r>
    <r>
      <rPr>
        <b/>
        <sz val="9"/>
        <color theme="1"/>
        <rFont val="Segoe UI"/>
        <family val="2"/>
      </rPr>
      <t>casos de prueba detallados (pasos, datos, precondiciones, criterios de aceptación)?</t>
    </r>
  </si>
  <si>
    <t>Casos de prueba documentados; plantillas oficiales</t>
  </si>
  <si>
    <r>
      <t xml:space="preserve">¿Utiliza una </t>
    </r>
    <r>
      <rPr>
        <b/>
        <sz val="9"/>
        <color theme="1"/>
        <rFont val="Segoe UI"/>
        <family val="2"/>
      </rPr>
      <t>Matriz de Trazabilidad (requisito→caso→resultado→evidencia) o RDP para seguimiento integral de pruebas?</t>
    </r>
  </si>
  <si>
    <t>Matriz completa; vínculos a requisitos y resultados</t>
  </si>
  <si>
    <r>
      <t xml:space="preserve">¿Utiliza </t>
    </r>
    <r>
      <rPr>
        <b/>
        <sz val="9"/>
        <color theme="1"/>
        <rFont val="Segoe UI"/>
        <family val="2"/>
      </rPr>
      <t>herramientas</t>
    </r>
    <r>
      <rPr>
        <sz val="9"/>
        <color theme="1"/>
        <rFont val="Segoe UI"/>
        <family val="2"/>
      </rPr>
      <t xml:space="preserve"> para la </t>
    </r>
    <r>
      <rPr>
        <b/>
        <sz val="9"/>
        <color theme="1"/>
        <rFont val="Segoe UI"/>
        <family val="2"/>
      </rPr>
      <t>ejecución y registro de resultados</t>
    </r>
    <r>
      <rPr>
        <sz val="9"/>
        <color theme="1"/>
        <rFont val="Segoe UI"/>
        <family val="2"/>
      </rPr>
      <t xml:space="preserve"> de pruebas (RPFU, planillas, sistemas de defectos)?</t>
    </r>
  </si>
  <si>
    <t>Evidencia de ejecución; planilla RPFU o sistema equivalente</t>
  </si>
  <si>
    <r>
      <t>¿</t>
    </r>
    <r>
      <rPr>
        <b/>
        <sz val="9"/>
        <color theme="1"/>
        <rFont val="Segoe UI"/>
        <family val="2"/>
      </rPr>
      <t>Registra</t>
    </r>
    <r>
      <rPr>
        <sz val="9"/>
        <color theme="1"/>
        <rFont val="Segoe UI"/>
        <family val="2"/>
      </rPr>
      <t xml:space="preserve"> y da </t>
    </r>
    <r>
      <rPr>
        <b/>
        <sz val="9"/>
        <color theme="1"/>
        <rFont val="Segoe UI"/>
        <family val="2"/>
      </rPr>
      <t>seguimiento</t>
    </r>
    <r>
      <rPr>
        <sz val="9"/>
        <color theme="1"/>
        <rFont val="Segoe UI"/>
        <family val="2"/>
      </rPr>
      <t xml:space="preserve"> a </t>
    </r>
    <r>
      <rPr>
        <b/>
        <sz val="9"/>
        <color theme="1"/>
        <rFont val="Segoe UI"/>
        <family val="2"/>
      </rPr>
      <t>defectos</t>
    </r>
    <r>
      <rPr>
        <sz val="9"/>
        <color theme="1"/>
        <rFont val="Segoe UI"/>
        <family val="2"/>
      </rPr>
      <t xml:space="preserve"> en herramientas institucionales (GitLab issues, MSSAT, o equivalente)?</t>
    </r>
  </si>
  <si>
    <t>Issues, estados, severidades, historial de correcciones</t>
  </si>
  <si>
    <r>
      <t xml:space="preserve">¿Utiliza herramientas para la </t>
    </r>
    <r>
      <rPr>
        <b/>
        <sz val="9"/>
        <color theme="1"/>
        <rFont val="Segoe UI"/>
        <family val="2"/>
      </rPr>
      <t>clasificación de defectos</t>
    </r>
    <r>
      <rPr>
        <sz val="9"/>
        <color theme="1"/>
        <rFont val="Segoe UI"/>
        <family val="2"/>
      </rPr>
      <t xml:space="preserve"> por severidad (Bloqueante, Crítica, Alta, etc.) y cierre con evidencia?</t>
    </r>
  </si>
  <si>
    <t>Lista de defectos; clasificación; capturas de cierre</t>
  </si>
  <si>
    <t>¿Acredita uso de herramientas de seguridad SAST (SonarQube) para revisión de código y validación de hallazgos?</t>
  </si>
  <si>
    <t>SAST ejecutado; evidencia de remediación; VoBo</t>
  </si>
  <si>
    <t>Es terter funcional</t>
  </si>
  <si>
    <r>
      <t>¿Ha utilizado herramientas de</t>
    </r>
    <r>
      <rPr>
        <b/>
        <sz val="9"/>
        <color theme="1"/>
        <rFont val="Segoe UI"/>
        <family val="2"/>
      </rPr>
      <t xml:space="preserve"> pruebas de seguridad</t>
    </r>
    <r>
      <rPr>
        <sz val="9"/>
        <color theme="1"/>
        <rFont val="Segoe UI"/>
        <family val="2"/>
      </rPr>
      <t xml:space="preserve"> DAST para evaluar vulnerabilidades dinámicas previo a liberación?</t>
    </r>
  </si>
  <si>
    <t>Reporte DAST; validación; VoBo</t>
  </si>
  <si>
    <r>
      <t xml:space="preserve">¿Utiliza herramientas para </t>
    </r>
    <r>
      <rPr>
        <b/>
        <sz val="9"/>
        <color theme="1"/>
        <rFont val="Segoe UI"/>
        <family val="2"/>
      </rPr>
      <t xml:space="preserve">validar ambientes </t>
    </r>
    <r>
      <rPr>
        <sz val="9"/>
        <color theme="1"/>
        <rFont val="Segoe UI"/>
        <family val="2"/>
      </rPr>
      <t>(INT/UAT/Pre‑Prod): logs, monitoreo, trazas, verificación de despliegue?</t>
    </r>
  </si>
  <si>
    <t>Capturas de logs, evidencias de validación de ambiente</t>
  </si>
  <si>
    <r>
      <t xml:space="preserve">¿Ha trabajado con </t>
    </r>
    <r>
      <rPr>
        <b/>
        <sz val="9"/>
        <color theme="1"/>
        <rFont val="Segoe UI"/>
        <family val="2"/>
      </rPr>
      <t>Monitor</t>
    </r>
    <r>
      <rPr>
        <sz val="9"/>
        <color theme="1"/>
        <rFont val="Segoe UI"/>
        <family val="2"/>
      </rPr>
      <t xml:space="preserve"> para verificar paquetes, estatus de despliegue o ventanas de liberación?</t>
    </r>
  </si>
  <si>
    <t>Acuse “paquete recibido”, bitácora Monitor</t>
  </si>
  <si>
    <t>¿Operó herramientas de documentación colaborativa (SharePoint, OneDrive, Confluence) para almacenar y versionar artefactos de prueba?</t>
  </si>
  <si>
    <t>Historial de versiones; permisos; repos de pruebas</t>
  </si>
  <si>
    <t xml:space="preserve">No se mencionan repos de documentación colaborativa. </t>
  </si>
  <si>
    <r>
      <t xml:space="preserve">¿Utiliza </t>
    </r>
    <r>
      <rPr>
        <b/>
        <sz val="9"/>
        <color theme="1"/>
        <rFont val="Segoe UI"/>
        <family val="2"/>
      </rPr>
      <t>plantillas</t>
    </r>
    <r>
      <rPr>
        <sz val="9"/>
        <color theme="1"/>
        <rFont val="Segoe UI"/>
        <family val="2"/>
      </rPr>
      <t xml:space="preserve"> oficiales para </t>
    </r>
    <r>
      <rPr>
        <b/>
        <sz val="9"/>
        <color theme="1"/>
        <rFont val="Segoe UI"/>
        <family val="2"/>
      </rPr>
      <t>evidencias</t>
    </r>
    <r>
      <rPr>
        <sz val="9"/>
        <color theme="1"/>
        <rFont val="Segoe UI"/>
        <family val="2"/>
      </rPr>
      <t xml:space="preserve"> de pruebas (capturas, numeración, firmas), integrándolas a carpetas mensuales?</t>
    </r>
  </si>
  <si>
    <t>Evidencias completas, formato institucional; checklist</t>
  </si>
  <si>
    <t>Es parte de las herramientas</t>
  </si>
  <si>
    <r>
      <t xml:space="preserve">¿Emplea herramientas para </t>
    </r>
    <r>
      <rPr>
        <b/>
        <sz val="9"/>
        <color theme="1"/>
        <rFont val="Segoe UI"/>
        <family val="2"/>
      </rPr>
      <t>soportar UAT</t>
    </r>
    <r>
      <rPr>
        <sz val="9"/>
        <color theme="1"/>
        <rFont val="Segoe UI"/>
        <family val="2"/>
      </rPr>
      <t xml:space="preserve"> (listas, matrices, registro de hallazgos, VoBo del usuario)?</t>
    </r>
  </si>
  <si>
    <t>Actas UAT; resultados; VoBo usuario</t>
  </si>
  <si>
    <r>
      <t xml:space="preserve">¿Utiliza </t>
    </r>
    <r>
      <rPr>
        <b/>
        <sz val="9"/>
        <color theme="1"/>
        <rFont val="Segoe UI"/>
        <family val="2"/>
      </rPr>
      <t xml:space="preserve">tableros o reportes </t>
    </r>
    <r>
      <rPr>
        <sz val="9"/>
        <color theme="1"/>
        <rFont val="Segoe UI"/>
        <family val="2"/>
      </rPr>
      <t>(Excel, BI, QA dashboards) para consolidar KPIs de pruebas (casos ejecutados, defectos, cobertura)?</t>
    </r>
  </si>
  <si>
    <t>Dashboard/Excel con KPIs; reportes mensuales</t>
  </si>
  <si>
    <r>
      <t xml:space="preserve">¿Integra todas las </t>
    </r>
    <r>
      <rPr>
        <b/>
        <sz val="9"/>
        <color theme="1"/>
        <rFont val="Segoe UI"/>
        <family val="2"/>
      </rPr>
      <t>evidencias de pruebas</t>
    </r>
    <r>
      <rPr>
        <sz val="9"/>
        <color theme="1"/>
        <rFont val="Segoe UI"/>
        <family val="2"/>
      </rPr>
      <t xml:space="preserve"> en la Carpeta mensual para dictamen (Plan, Matriz, RPFU, defectos, VoBo, SAST/DAST)?</t>
    </r>
  </si>
  <si>
    <t>Carpeta del mes; checklist; acuse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</si>
</sst>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  <charset val="178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theme="0" tint="-0.249977111117893"/>
      </left>
      <right style="thin">
        <color rgb="FFA6A6A6"/>
      </right>
      <top style="thin">
        <color rgb="FFA6A6A6"/>
      </top>
      <bottom/>
      <diagonal/>
    </border>
    <border>
      <left style="thin">
        <color theme="0" tint="-0.249977111117893"/>
      </left>
      <right style="thin">
        <color rgb="FFA6A6A6"/>
      </right>
      <top/>
      <bottom style="thin">
        <color rgb="FFA6A6A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A6A6A6"/>
      </left>
      <right style="thin">
        <color rgb="FFA6A6A6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9" fillId="6" borderId="5" xfId="1" applyFont="1" applyFill="1" applyBorder="1" applyAlignment="1">
      <alignment vertical="top" wrapText="1"/>
    </xf>
    <xf numFmtId="0" fontId="9" fillId="6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9" fillId="0" borderId="3" xfId="1" applyFont="1" applyBorder="1" applyAlignment="1">
      <alignment vertical="top" wrapText="1"/>
    </xf>
    <xf numFmtId="0" fontId="14" fillId="0" borderId="9" xfId="1" applyFont="1" applyBorder="1" applyAlignment="1">
      <alignment vertical="top"/>
    </xf>
    <xf numFmtId="0" fontId="16" fillId="6" borderId="3" xfId="0" applyFont="1" applyFill="1" applyBorder="1" applyAlignment="1">
      <alignment vertical="top" wrapText="1"/>
    </xf>
    <xf numFmtId="0" fontId="16" fillId="6" borderId="5" xfId="0" applyFont="1" applyFill="1" applyBorder="1" applyAlignment="1">
      <alignment vertical="top"/>
    </xf>
    <xf numFmtId="0" fontId="11" fillId="7" borderId="10" xfId="1" applyFont="1" applyFill="1" applyBorder="1" applyAlignment="1">
      <alignment vertical="top"/>
    </xf>
    <xf numFmtId="0" fontId="11" fillId="7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1" fillId="7" borderId="5" xfId="1" applyFont="1" applyFill="1" applyBorder="1" applyAlignment="1">
      <alignment vertical="top"/>
    </xf>
    <xf numFmtId="0" fontId="15" fillId="2" borderId="2" xfId="1" applyFont="1" applyFill="1" applyBorder="1" applyAlignment="1">
      <alignment horizontal="left" vertical="top" wrapText="1"/>
    </xf>
    <xf numFmtId="0" fontId="16" fillId="0" borderId="5" xfId="0" applyFont="1" applyBorder="1" applyAlignment="1">
      <alignment vertical="top"/>
    </xf>
    <xf numFmtId="0" fontId="9" fillId="0" borderId="11" xfId="1" applyFont="1" applyBorder="1" applyAlignment="1">
      <alignment vertical="top" wrapText="1"/>
    </xf>
    <xf numFmtId="0" fontId="1" fillId="0" borderId="0" xfId="1"/>
    <xf numFmtId="0" fontId="10" fillId="0" borderId="0" xfId="1" applyFont="1"/>
    <xf numFmtId="0" fontId="9" fillId="6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9" fillId="0" borderId="4" xfId="0" applyFont="1" applyBorder="1" applyAlignment="1">
      <alignment vertical="center" wrapText="1"/>
    </xf>
    <xf numFmtId="0" fontId="6" fillId="3" borderId="10" xfId="1" applyFont="1" applyFill="1" applyBorder="1" applyAlignment="1">
      <alignment vertical="top"/>
    </xf>
    <xf numFmtId="0" fontId="9" fillId="6" borderId="5" xfId="0" applyFont="1" applyFill="1" applyBorder="1" applyAlignment="1">
      <alignment horizontal="left" vertical="top" wrapText="1" indent="2"/>
    </xf>
    <xf numFmtId="0" fontId="9" fillId="0" borderId="0" xfId="1" applyFont="1" applyAlignment="1">
      <alignment horizontal="left" vertical="top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9" fillId="10" borderId="17" xfId="0" applyFont="1" applyFill="1" applyBorder="1" applyAlignment="1">
      <alignment vertical="top" wrapText="1"/>
    </xf>
    <xf numFmtId="0" fontId="9" fillId="10" borderId="18" xfId="0" applyFont="1" applyFill="1" applyBorder="1" applyAlignment="1">
      <alignment vertical="top" wrapText="1"/>
    </xf>
    <xf numFmtId="0" fontId="2" fillId="11" borderId="12" xfId="0" applyFont="1" applyFill="1" applyBorder="1" applyAlignment="1">
      <alignment vertical="center"/>
    </xf>
    <xf numFmtId="0" fontId="9" fillId="10" borderId="15" xfId="0" applyFont="1" applyFill="1" applyBorder="1" applyAlignment="1">
      <alignment vertical="top" wrapText="1"/>
    </xf>
    <xf numFmtId="0" fontId="6" fillId="10" borderId="17" xfId="0" applyFont="1" applyFill="1" applyBorder="1" applyAlignment="1">
      <alignment horizontal="center" vertical="top" wrapText="1"/>
    </xf>
    <xf numFmtId="0" fontId="9" fillId="10" borderId="18" xfId="0" applyFont="1" applyFill="1" applyBorder="1" applyAlignment="1">
      <alignment horizontal="center" vertical="top" wrapText="1"/>
    </xf>
    <xf numFmtId="0" fontId="9" fillId="10" borderId="16" xfId="0" applyFont="1" applyFill="1" applyBorder="1" applyAlignment="1">
      <alignment vertical="top" wrapText="1"/>
    </xf>
    <xf numFmtId="0" fontId="9" fillId="10" borderId="16" xfId="0" applyFont="1" applyFill="1" applyBorder="1" applyAlignment="1">
      <alignment horizontal="left" vertical="top" wrapText="1"/>
    </xf>
    <xf numFmtId="0" fontId="9" fillId="10" borderId="19" xfId="0" applyFont="1" applyFill="1" applyBorder="1" applyAlignment="1">
      <alignment vertical="top" wrapText="1"/>
    </xf>
    <xf numFmtId="0" fontId="9" fillId="10" borderId="20" xfId="0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2" fillId="9" borderId="12" xfId="0" applyFont="1" applyFill="1" applyBorder="1" applyAlignment="1">
      <alignment vertical="center"/>
    </xf>
    <xf numFmtId="0" fontId="23" fillId="10" borderId="15" xfId="0" applyFont="1" applyFill="1" applyBorder="1" applyAlignment="1">
      <alignment vertical="top"/>
    </xf>
    <xf numFmtId="0" fontId="23" fillId="10" borderId="15" xfId="0" applyFont="1" applyFill="1" applyBorder="1" applyAlignment="1">
      <alignment vertical="top" wrapText="1"/>
    </xf>
    <xf numFmtId="0" fontId="23" fillId="0" borderId="13" xfId="0" applyFont="1" applyBorder="1" applyAlignment="1">
      <alignment vertical="center" wrapText="1"/>
    </xf>
    <xf numFmtId="0" fontId="23" fillId="0" borderId="21" xfId="0" applyFont="1" applyBorder="1" applyAlignment="1">
      <alignment horizontal="left" vertical="center" wrapText="1" indent="2"/>
    </xf>
    <xf numFmtId="0" fontId="23" fillId="0" borderId="21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9" fillId="0" borderId="16" xfId="0" applyFont="1" applyBorder="1" applyAlignment="1">
      <alignment vertical="top" wrapText="1"/>
    </xf>
    <xf numFmtId="0" fontId="23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vertical="top" wrapText="1"/>
    </xf>
    <xf numFmtId="0" fontId="9" fillId="0" borderId="22" xfId="0" applyFont="1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2" fillId="11" borderId="12" xfId="1" applyFont="1" applyFill="1" applyBorder="1" applyAlignment="1">
      <alignment vertical="center"/>
    </xf>
    <xf numFmtId="0" fontId="16" fillId="12" borderId="5" xfId="0" applyFont="1" applyFill="1" applyBorder="1" applyAlignment="1">
      <alignment vertical="top" wrapText="1"/>
    </xf>
    <xf numFmtId="0" fontId="6" fillId="12" borderId="5" xfId="1" applyFont="1" applyFill="1" applyBorder="1" applyAlignment="1">
      <alignment vertical="top" wrapText="1"/>
    </xf>
    <xf numFmtId="0" fontId="16" fillId="12" borderId="5" xfId="0" applyFont="1" applyFill="1" applyBorder="1" applyAlignment="1">
      <alignment horizontal="left" vertical="top" wrapText="1" indent="2"/>
    </xf>
    <xf numFmtId="0" fontId="9" fillId="6" borderId="5" xfId="0" applyFont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vertical="center" wrapText="1"/>
    </xf>
    <xf numFmtId="0" fontId="16" fillId="6" borderId="5" xfId="0" applyFont="1" applyFill="1" applyBorder="1" applyAlignment="1">
      <alignment horizontal="left" vertical="top" wrapText="1"/>
    </xf>
  </cellXfs>
  <cellStyles count="3">
    <cellStyle name="Normal" xfId="0" builtinId="0"/>
    <cellStyle name="Normal 2" xfId="1" xr:uid="{D7EC8CD1-A822-48C6-ADE5-4CD8EC08A7B7}"/>
    <cellStyle name="Percent 2" xfId="2" xr:uid="{EDB0960F-D552-4D38-B654-15005052238D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2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873125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2A62A843-E8FF-41D5-92D8-36F586AF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400050"/>
          <a:ext cx="838200" cy="483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149394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E6BF18-EFFD-4CB4-9391-4DC393FDF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494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144614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4D0464-FF0B-4D0D-B3FB-7CE9EE65D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44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29AB-DC14-40FD-A6BC-3A4B6297771A}">
  <dimension ref="A1:AC134"/>
  <sheetViews>
    <sheetView tabSelected="1" topLeftCell="B98" workbookViewId="0">
      <selection activeCell="C108" sqref="C108"/>
    </sheetView>
  </sheetViews>
  <sheetFormatPr defaultColWidth="9.1796875" defaultRowHeight="14" x14ac:dyDescent="0.25"/>
  <cols>
    <col min="1" max="1" width="9.1796875" style="2"/>
    <col min="2" max="2" width="8.08984375" style="1" bestFit="1" customWidth="1"/>
    <col min="3" max="3" width="58.36328125" style="49" customWidth="1"/>
    <col min="4" max="4" width="57" style="50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60" t="s">
        <v>0</v>
      </c>
      <c r="D1" s="61"/>
      <c r="E1" s="61"/>
      <c r="F1" s="6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62" t="s">
        <v>4</v>
      </c>
      <c r="F3" s="63"/>
      <c r="G3" s="64"/>
      <c r="H3" s="64"/>
      <c r="AC3" s="2" t="s">
        <v>5</v>
      </c>
    </row>
    <row r="4" spans="2:29" x14ac:dyDescent="0.25">
      <c r="C4" s="6" t="s">
        <v>6</v>
      </c>
      <c r="D4" s="8"/>
      <c r="E4" s="62" t="s">
        <v>7</v>
      </c>
      <c r="F4" s="63"/>
      <c r="G4" s="64"/>
      <c r="H4" s="64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59" t="s">
        <v>8</v>
      </c>
      <c r="D6" s="5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59"/>
      <c r="D7" s="59"/>
      <c r="E7" s="10" t="s">
        <v>11</v>
      </c>
      <c r="F7" s="10"/>
      <c r="G7" s="10" t="s">
        <v>11</v>
      </c>
      <c r="H7" s="10"/>
    </row>
    <row r="8" spans="2:29" ht="16.5" x14ac:dyDescent="0.25">
      <c r="B8" s="11"/>
      <c r="C8" s="11" t="s">
        <v>12</v>
      </c>
      <c r="D8" s="12" t="s">
        <v>101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 t="s">
        <v>20</v>
      </c>
      <c r="E10" s="21"/>
      <c r="F10" s="21"/>
      <c r="G10" s="21"/>
      <c r="H10" s="21"/>
    </row>
    <row r="11" spans="2:29" ht="60.5" customHeight="1" x14ac:dyDescent="0.25">
      <c r="B11" s="75">
        <v>1</v>
      </c>
      <c r="C11" s="22" t="s">
        <v>21</v>
      </c>
      <c r="D11" s="23" t="s">
        <v>22</v>
      </c>
      <c r="E11" s="24" t="s">
        <v>5</v>
      </c>
      <c r="F11" s="25" t="s">
        <v>23</v>
      </c>
      <c r="G11" s="24"/>
      <c r="H11" s="25"/>
    </row>
    <row r="12" spans="2:29" ht="28" x14ac:dyDescent="0.25">
      <c r="B12" s="67">
        <v>2</v>
      </c>
      <c r="C12" s="68" t="s">
        <v>24</v>
      </c>
      <c r="D12" s="68" t="s">
        <v>25</v>
      </c>
      <c r="E12" s="24" t="s">
        <v>1</v>
      </c>
      <c r="F12" s="25"/>
      <c r="G12" s="24"/>
      <c r="H12" s="25"/>
    </row>
    <row r="13" spans="2:29" ht="28" x14ac:dyDescent="0.25">
      <c r="B13" s="67">
        <f t="shared" ref="B13:B45" si="0">B12+1</f>
        <v>3</v>
      </c>
      <c r="C13" s="68" t="s">
        <v>26</v>
      </c>
      <c r="D13" s="68" t="s">
        <v>27</v>
      </c>
      <c r="E13" s="24" t="s">
        <v>1</v>
      </c>
      <c r="F13" s="25"/>
      <c r="G13" s="24"/>
      <c r="H13" s="25"/>
    </row>
    <row r="14" spans="2:29" ht="14" customHeight="1" x14ac:dyDescent="0.25">
      <c r="B14" s="67">
        <f t="shared" si="0"/>
        <v>4</v>
      </c>
      <c r="C14" s="73" t="s">
        <v>28</v>
      </c>
      <c r="D14" s="65" t="s">
        <v>102</v>
      </c>
      <c r="E14" s="24" t="s">
        <v>1</v>
      </c>
      <c r="F14" s="25"/>
      <c r="G14" s="24"/>
      <c r="H14" s="25"/>
    </row>
    <row r="15" spans="2:29" x14ac:dyDescent="0.25">
      <c r="B15" s="67">
        <f t="shared" si="0"/>
        <v>5</v>
      </c>
      <c r="C15" s="74"/>
      <c r="D15" s="66" t="s">
        <v>103</v>
      </c>
      <c r="E15" s="24" t="s">
        <v>1</v>
      </c>
      <c r="F15" s="25"/>
      <c r="G15" s="24"/>
      <c r="H15" s="25"/>
    </row>
    <row r="16" spans="2:29" ht="14" customHeight="1" x14ac:dyDescent="0.25">
      <c r="B16" s="67">
        <f t="shared" si="0"/>
        <v>6</v>
      </c>
      <c r="C16" s="73" t="s">
        <v>29</v>
      </c>
      <c r="D16" s="69" t="s">
        <v>104</v>
      </c>
      <c r="E16" s="24" t="s">
        <v>1</v>
      </c>
      <c r="F16" s="25"/>
      <c r="G16" s="24"/>
      <c r="H16" s="25"/>
    </row>
    <row r="17" spans="2:8" x14ac:dyDescent="0.25">
      <c r="B17" s="67">
        <f t="shared" si="0"/>
        <v>7</v>
      </c>
      <c r="C17" s="74"/>
      <c r="D17" s="70" t="s">
        <v>105</v>
      </c>
      <c r="E17" s="24" t="s">
        <v>1</v>
      </c>
      <c r="F17" s="25"/>
      <c r="G17" s="24"/>
      <c r="H17" s="25"/>
    </row>
    <row r="18" spans="2:8" ht="14" customHeight="1" x14ac:dyDescent="0.25">
      <c r="B18" s="67">
        <f t="shared" si="0"/>
        <v>8</v>
      </c>
      <c r="C18" s="73" t="s">
        <v>106</v>
      </c>
      <c r="D18" s="65" t="s">
        <v>107</v>
      </c>
      <c r="E18" s="24" t="s">
        <v>1</v>
      </c>
      <c r="F18" s="25"/>
      <c r="G18" s="24"/>
      <c r="H18" s="25"/>
    </row>
    <row r="19" spans="2:8" x14ac:dyDescent="0.25">
      <c r="B19" s="67">
        <f t="shared" si="0"/>
        <v>9</v>
      </c>
      <c r="C19" s="74"/>
      <c r="D19" s="66" t="s">
        <v>108</v>
      </c>
      <c r="E19" s="24" t="s">
        <v>1</v>
      </c>
      <c r="F19" s="25"/>
      <c r="G19" s="24"/>
      <c r="H19" s="25"/>
    </row>
    <row r="20" spans="2:8" x14ac:dyDescent="0.25">
      <c r="B20" s="67">
        <f t="shared" si="0"/>
        <v>10</v>
      </c>
      <c r="C20" s="68" t="s">
        <v>30</v>
      </c>
      <c r="D20" s="72" t="s">
        <v>31</v>
      </c>
      <c r="E20" s="24" t="s">
        <v>1</v>
      </c>
      <c r="F20" s="25"/>
      <c r="G20" s="24"/>
      <c r="H20" s="25"/>
    </row>
    <row r="21" spans="2:8" x14ac:dyDescent="0.25">
      <c r="B21" s="19" t="s">
        <v>18</v>
      </c>
      <c r="C21" s="20" t="s">
        <v>32</v>
      </c>
      <c r="D21" s="11" t="s">
        <v>20</v>
      </c>
      <c r="E21" s="27" t="s">
        <v>1</v>
      </c>
      <c r="F21" s="27" t="s">
        <v>33</v>
      </c>
      <c r="G21" s="27"/>
      <c r="H21" s="27"/>
    </row>
    <row r="22" spans="2:8" ht="35" customHeight="1" x14ac:dyDescent="0.25">
      <c r="B22" s="67">
        <v>11</v>
      </c>
      <c r="C22" s="22" t="s">
        <v>34</v>
      </c>
      <c r="D22" s="28" t="s">
        <v>35</v>
      </c>
      <c r="E22" s="24" t="s">
        <v>1</v>
      </c>
      <c r="F22" s="25"/>
      <c r="G22" s="24"/>
      <c r="H22" s="25"/>
    </row>
    <row r="23" spans="2:8" x14ac:dyDescent="0.25">
      <c r="B23" s="76">
        <v>12</v>
      </c>
      <c r="C23" s="77" t="s">
        <v>109</v>
      </c>
      <c r="D23" s="71" t="s">
        <v>36</v>
      </c>
      <c r="E23" s="24" t="s">
        <v>5</v>
      </c>
      <c r="F23" s="25" t="s">
        <v>37</v>
      </c>
      <c r="G23" s="24"/>
      <c r="H23" s="25"/>
    </row>
    <row r="24" spans="2:8" ht="28" x14ac:dyDescent="0.25">
      <c r="B24" s="76">
        <v>13</v>
      </c>
      <c r="C24" s="78" t="s">
        <v>110</v>
      </c>
      <c r="D24" s="71" t="s">
        <v>38</v>
      </c>
      <c r="E24" s="24" t="s">
        <v>5</v>
      </c>
      <c r="F24" s="25" t="s">
        <v>37</v>
      </c>
      <c r="G24" s="24"/>
      <c r="H24" s="25"/>
    </row>
    <row r="25" spans="2:8" x14ac:dyDescent="0.25">
      <c r="B25" s="76">
        <v>14</v>
      </c>
      <c r="C25" s="77" t="s">
        <v>111</v>
      </c>
      <c r="D25" s="71" t="s">
        <v>39</v>
      </c>
      <c r="E25" s="24" t="s">
        <v>5</v>
      </c>
      <c r="F25" s="25" t="s">
        <v>37</v>
      </c>
      <c r="G25" s="24"/>
      <c r="H25" s="25"/>
    </row>
    <row r="26" spans="2:8" x14ac:dyDescent="0.25">
      <c r="B26" s="76">
        <v>15</v>
      </c>
      <c r="C26" s="77" t="s">
        <v>112</v>
      </c>
      <c r="D26" s="71" t="s">
        <v>40</v>
      </c>
      <c r="E26" s="24" t="s">
        <v>5</v>
      </c>
      <c r="F26" s="25" t="s">
        <v>37</v>
      </c>
      <c r="G26" s="24"/>
      <c r="H26" s="25"/>
    </row>
    <row r="27" spans="2:8" x14ac:dyDescent="0.25">
      <c r="B27" s="76">
        <v>16</v>
      </c>
      <c r="C27" s="77" t="s">
        <v>113</v>
      </c>
      <c r="D27" s="71" t="s">
        <v>40</v>
      </c>
      <c r="E27" s="24" t="s">
        <v>5</v>
      </c>
      <c r="F27" s="25" t="s">
        <v>37</v>
      </c>
      <c r="G27" s="24"/>
      <c r="H27" s="25"/>
    </row>
    <row r="28" spans="2:8" ht="15" customHeight="1" x14ac:dyDescent="0.25">
      <c r="B28" s="19" t="s">
        <v>18</v>
      </c>
      <c r="C28" s="20" t="s">
        <v>41</v>
      </c>
      <c r="D28" s="11"/>
      <c r="E28" s="27" t="s">
        <v>1</v>
      </c>
      <c r="F28" s="27" t="s">
        <v>42</v>
      </c>
      <c r="G28" s="27"/>
      <c r="H28" s="27"/>
    </row>
    <row r="29" spans="2:8" ht="15" customHeight="1" x14ac:dyDescent="0.25">
      <c r="B29" s="19" t="s">
        <v>43</v>
      </c>
      <c r="C29" s="30" t="s">
        <v>44</v>
      </c>
      <c r="D29" s="31"/>
      <c r="E29" s="27" t="s">
        <v>1</v>
      </c>
      <c r="F29" s="27" t="s">
        <v>42</v>
      </c>
      <c r="G29" s="27"/>
      <c r="H29" s="27"/>
    </row>
    <row r="30" spans="2:8" ht="40.5" customHeight="1" x14ac:dyDescent="0.25">
      <c r="B30" s="19">
        <v>17</v>
      </c>
      <c r="C30" s="32" t="s">
        <v>127</v>
      </c>
      <c r="D30" s="33" t="s">
        <v>128</v>
      </c>
      <c r="E30" s="24"/>
      <c r="F30" s="25"/>
      <c r="G30" s="24"/>
      <c r="H30" s="25"/>
    </row>
    <row r="31" spans="2:8" ht="140.5" x14ac:dyDescent="0.25">
      <c r="B31" s="19">
        <f t="shared" si="0"/>
        <v>18</v>
      </c>
      <c r="C31" s="32" t="s">
        <v>129</v>
      </c>
      <c r="D31" s="33" t="s">
        <v>130</v>
      </c>
      <c r="E31" s="24"/>
      <c r="F31" s="25"/>
      <c r="G31" s="24"/>
      <c r="H31" s="25"/>
    </row>
    <row r="32" spans="2:8" ht="56" customHeight="1" thickBot="1" x14ac:dyDescent="0.3">
      <c r="B32" s="19">
        <f t="shared" si="0"/>
        <v>19</v>
      </c>
      <c r="C32" s="80" t="s">
        <v>114</v>
      </c>
      <c r="D32" s="81" t="s">
        <v>115</v>
      </c>
      <c r="E32" s="24"/>
      <c r="F32" s="25"/>
      <c r="G32" s="24"/>
      <c r="H32" s="25"/>
    </row>
    <row r="33" spans="2:8" ht="28.5" thickBot="1" x14ac:dyDescent="0.3">
      <c r="B33" s="19">
        <f t="shared" si="0"/>
        <v>20</v>
      </c>
      <c r="C33" s="80" t="s">
        <v>116</v>
      </c>
      <c r="D33" s="81" t="s">
        <v>117</v>
      </c>
      <c r="E33" s="24"/>
      <c r="F33" s="25"/>
      <c r="G33" s="24"/>
      <c r="H33" s="25"/>
    </row>
    <row r="34" spans="2:8" ht="28.5" thickBot="1" x14ac:dyDescent="0.3">
      <c r="B34" s="19">
        <f t="shared" si="0"/>
        <v>21</v>
      </c>
      <c r="C34" s="80" t="s">
        <v>118</v>
      </c>
      <c r="D34" s="81" t="s">
        <v>119</v>
      </c>
      <c r="E34" s="24"/>
      <c r="F34" s="25"/>
      <c r="G34" s="24"/>
      <c r="H34" s="25"/>
    </row>
    <row r="35" spans="2:8" ht="28.5" thickBot="1" x14ac:dyDescent="0.3">
      <c r="B35" s="75">
        <f t="shared" si="0"/>
        <v>22</v>
      </c>
      <c r="C35" s="80" t="s">
        <v>120</v>
      </c>
      <c r="D35" s="81" t="s">
        <v>121</v>
      </c>
      <c r="E35" s="24" t="s">
        <v>5</v>
      </c>
      <c r="F35" s="25" t="s">
        <v>141</v>
      </c>
      <c r="G35" s="24"/>
      <c r="H35" s="25"/>
    </row>
    <row r="36" spans="2:8" ht="28.5" thickBot="1" x14ac:dyDescent="0.3">
      <c r="B36" s="19">
        <f t="shared" si="0"/>
        <v>23</v>
      </c>
      <c r="C36" s="80" t="s">
        <v>122</v>
      </c>
      <c r="D36" s="81" t="s">
        <v>123</v>
      </c>
      <c r="E36" s="24"/>
      <c r="F36" s="25"/>
      <c r="G36" s="24"/>
      <c r="H36" s="25"/>
    </row>
    <row r="37" spans="2:8" ht="14.5" thickBot="1" x14ac:dyDescent="0.3">
      <c r="B37" s="19">
        <f t="shared" si="0"/>
        <v>24</v>
      </c>
      <c r="C37" s="80" t="s">
        <v>124</v>
      </c>
      <c r="D37" s="81" t="s">
        <v>125</v>
      </c>
      <c r="E37" s="24"/>
      <c r="F37" s="25"/>
      <c r="G37" s="24"/>
      <c r="H37" s="25"/>
    </row>
    <row r="38" spans="2:8" x14ac:dyDescent="0.25">
      <c r="B38" s="19">
        <f t="shared" si="0"/>
        <v>25</v>
      </c>
      <c r="C38" s="82" t="s">
        <v>126</v>
      </c>
      <c r="D38" s="83"/>
      <c r="E38" s="24"/>
      <c r="F38" s="25"/>
      <c r="G38" s="24"/>
      <c r="H38" s="25"/>
    </row>
    <row r="39" spans="2:8" x14ac:dyDescent="0.25">
      <c r="B39" s="19">
        <f t="shared" si="0"/>
        <v>26</v>
      </c>
      <c r="C39" s="82" t="s">
        <v>131</v>
      </c>
      <c r="D39" s="85" t="s">
        <v>46</v>
      </c>
      <c r="E39" s="24"/>
      <c r="F39" s="25"/>
      <c r="G39" s="24"/>
      <c r="H39" s="25"/>
    </row>
    <row r="40" spans="2:8" ht="42" x14ac:dyDescent="0.25">
      <c r="B40" s="19">
        <f t="shared" si="0"/>
        <v>27</v>
      </c>
      <c r="C40" s="82" t="s">
        <v>132</v>
      </c>
      <c r="D40" s="86" t="s">
        <v>47</v>
      </c>
      <c r="E40" s="24"/>
      <c r="F40" s="25"/>
      <c r="G40" s="24"/>
      <c r="H40" s="25"/>
    </row>
    <row r="41" spans="2:8" ht="14" customHeight="1" x14ac:dyDescent="0.25">
      <c r="B41" s="75">
        <f t="shared" si="0"/>
        <v>28</v>
      </c>
      <c r="C41" s="82" t="s">
        <v>133</v>
      </c>
      <c r="D41" s="83" t="s">
        <v>48</v>
      </c>
      <c r="E41" s="24" t="s">
        <v>5</v>
      </c>
      <c r="F41" s="25" t="s">
        <v>142</v>
      </c>
      <c r="G41" s="24"/>
      <c r="H41" s="25"/>
    </row>
    <row r="42" spans="2:8" ht="28" x14ac:dyDescent="0.25">
      <c r="B42" s="75">
        <f t="shared" si="0"/>
        <v>29</v>
      </c>
      <c r="C42" s="82" t="s">
        <v>134</v>
      </c>
      <c r="D42" s="83" t="s">
        <v>49</v>
      </c>
      <c r="E42" s="24" t="s">
        <v>5</v>
      </c>
      <c r="F42" s="25" t="s">
        <v>143</v>
      </c>
      <c r="G42" s="24"/>
      <c r="H42" s="25"/>
    </row>
    <row r="43" spans="2:8" ht="15" customHeight="1" x14ac:dyDescent="0.25">
      <c r="B43" s="19">
        <f t="shared" si="0"/>
        <v>30</v>
      </c>
      <c r="C43" s="82" t="s">
        <v>135</v>
      </c>
      <c r="D43" s="83" t="s">
        <v>50</v>
      </c>
      <c r="E43" s="24"/>
      <c r="F43" s="25"/>
      <c r="G43" s="24"/>
      <c r="H43" s="25"/>
    </row>
    <row r="44" spans="2:8" ht="82" customHeight="1" x14ac:dyDescent="0.25">
      <c r="B44" s="19">
        <f t="shared" si="0"/>
        <v>31</v>
      </c>
      <c r="C44" s="79" t="s">
        <v>136</v>
      </c>
      <c r="D44" s="87"/>
      <c r="E44" s="24"/>
      <c r="F44" s="25"/>
      <c r="G44" s="24"/>
      <c r="H44" s="25"/>
    </row>
    <row r="45" spans="2:8" ht="84" x14ac:dyDescent="0.25">
      <c r="B45" s="19">
        <f t="shared" si="0"/>
        <v>32</v>
      </c>
      <c r="C45" s="84" t="s">
        <v>137</v>
      </c>
      <c r="D45" s="88" t="s">
        <v>138</v>
      </c>
      <c r="E45" s="24"/>
      <c r="F45" s="25"/>
      <c r="G45" s="24"/>
      <c r="H45" s="25"/>
    </row>
    <row r="46" spans="2:8" ht="15" customHeight="1" x14ac:dyDescent="0.25">
      <c r="B46" s="19" t="s">
        <v>43</v>
      </c>
      <c r="C46" s="34" t="s">
        <v>51</v>
      </c>
      <c r="D46" s="31"/>
      <c r="E46" s="27" t="s">
        <v>1</v>
      </c>
      <c r="F46" s="27" t="s">
        <v>42</v>
      </c>
      <c r="G46" s="27"/>
      <c r="H46" s="27"/>
    </row>
    <row r="47" spans="2:8" ht="42" x14ac:dyDescent="0.25">
      <c r="B47" s="19">
        <f>B45+1</f>
        <v>33</v>
      </c>
      <c r="C47" s="32" t="s">
        <v>52</v>
      </c>
      <c r="D47" s="26" t="s">
        <v>139</v>
      </c>
      <c r="E47" s="24"/>
      <c r="F47" s="25"/>
      <c r="G47" s="24"/>
      <c r="H47" s="25"/>
    </row>
    <row r="48" spans="2:8" ht="28" x14ac:dyDescent="0.25">
      <c r="B48" s="90">
        <f t="shared" ref="B48" si="1">B47+1</f>
        <v>34</v>
      </c>
      <c r="C48" s="32" t="s">
        <v>53</v>
      </c>
      <c r="D48" s="26" t="s">
        <v>140</v>
      </c>
      <c r="E48" s="24" t="s">
        <v>1</v>
      </c>
      <c r="F48" s="25"/>
      <c r="G48" s="24"/>
      <c r="H48" s="25"/>
    </row>
    <row r="49" spans="2:8" ht="28" x14ac:dyDescent="0.25">
      <c r="B49" s="90">
        <f t="shared" ref="B49:B54" si="2">B48+1</f>
        <v>35</v>
      </c>
      <c r="C49" s="89" t="s">
        <v>54</v>
      </c>
      <c r="D49" s="26" t="s">
        <v>55</v>
      </c>
      <c r="E49" s="24" t="s">
        <v>1</v>
      </c>
      <c r="F49" s="25"/>
      <c r="G49" s="24"/>
      <c r="H49" s="25"/>
    </row>
    <row r="50" spans="2:8" ht="28" x14ac:dyDescent="0.25">
      <c r="B50" s="90">
        <f t="shared" si="2"/>
        <v>36</v>
      </c>
      <c r="C50" s="29" t="s">
        <v>56</v>
      </c>
      <c r="D50" s="26" t="s">
        <v>57</v>
      </c>
      <c r="E50" s="24" t="s">
        <v>1</v>
      </c>
      <c r="F50" s="35"/>
      <c r="G50" s="24"/>
      <c r="H50" s="25"/>
    </row>
    <row r="51" spans="2:8" x14ac:dyDescent="0.25">
      <c r="B51" s="90">
        <f t="shared" si="2"/>
        <v>37</v>
      </c>
      <c r="C51" s="36" t="s">
        <v>58</v>
      </c>
      <c r="D51" s="26" t="s">
        <v>59</v>
      </c>
      <c r="E51" s="24" t="s">
        <v>1</v>
      </c>
      <c r="F51" s="25"/>
      <c r="G51" s="24"/>
      <c r="H51" s="25"/>
    </row>
    <row r="52" spans="2:8" ht="42" x14ac:dyDescent="0.25">
      <c r="B52" s="75">
        <f t="shared" si="2"/>
        <v>38</v>
      </c>
      <c r="C52" s="29" t="s">
        <v>60</v>
      </c>
      <c r="D52" s="26" t="s">
        <v>61</v>
      </c>
      <c r="E52" s="24" t="s">
        <v>5</v>
      </c>
      <c r="F52" s="25" t="s">
        <v>62</v>
      </c>
      <c r="G52" s="24"/>
      <c r="H52" s="25"/>
    </row>
    <row r="53" spans="2:8" ht="28" x14ac:dyDescent="0.25">
      <c r="B53" s="75">
        <f t="shared" si="2"/>
        <v>39</v>
      </c>
      <c r="C53" s="29" t="s">
        <v>63</v>
      </c>
      <c r="D53" s="26" t="s">
        <v>64</v>
      </c>
      <c r="E53" s="24" t="s">
        <v>5</v>
      </c>
      <c r="F53" s="25" t="s">
        <v>62</v>
      </c>
      <c r="G53" s="24"/>
      <c r="H53" s="25"/>
    </row>
    <row r="54" spans="2:8" ht="70" x14ac:dyDescent="0.25">
      <c r="B54" s="90">
        <f t="shared" si="2"/>
        <v>40</v>
      </c>
      <c r="C54" s="36" t="s">
        <v>65</v>
      </c>
      <c r="D54" s="26" t="s">
        <v>66</v>
      </c>
      <c r="E54" s="24" t="s">
        <v>1</v>
      </c>
      <c r="F54" s="25"/>
      <c r="G54" s="24"/>
      <c r="H54" s="25"/>
    </row>
    <row r="55" spans="2:8" ht="15" customHeight="1" x14ac:dyDescent="0.25">
      <c r="B55" s="19" t="s">
        <v>43</v>
      </c>
      <c r="C55" s="34" t="s">
        <v>67</v>
      </c>
      <c r="D55" s="31"/>
      <c r="E55" s="27" t="s">
        <v>1</v>
      </c>
      <c r="F55" s="27" t="s">
        <v>42</v>
      </c>
      <c r="G55" s="27"/>
      <c r="H55" s="27"/>
    </row>
    <row r="56" spans="2:8" ht="28" x14ac:dyDescent="0.25">
      <c r="B56" s="19">
        <f>B54+1</f>
        <v>41</v>
      </c>
      <c r="C56" s="36" t="s">
        <v>68</v>
      </c>
      <c r="D56" s="26" t="s">
        <v>69</v>
      </c>
      <c r="E56" s="24"/>
      <c r="F56" s="25"/>
      <c r="G56" s="24"/>
      <c r="H56" s="25"/>
    </row>
    <row r="57" spans="2:8" ht="29" customHeight="1" x14ac:dyDescent="0.25">
      <c r="B57" s="90">
        <f t="shared" ref="B57:B58" si="3">B56+1</f>
        <v>42</v>
      </c>
      <c r="C57" s="36" t="s">
        <v>70</v>
      </c>
      <c r="D57" s="26" t="s">
        <v>71</v>
      </c>
      <c r="E57" s="24" t="s">
        <v>1</v>
      </c>
      <c r="F57" s="25"/>
      <c r="G57" s="24"/>
      <c r="H57" s="25"/>
    </row>
    <row r="58" spans="2:8" ht="70" x14ac:dyDescent="0.25">
      <c r="B58" s="90">
        <f t="shared" si="3"/>
        <v>43</v>
      </c>
      <c r="C58" s="89" t="s">
        <v>144</v>
      </c>
      <c r="D58" s="26" t="s">
        <v>145</v>
      </c>
      <c r="E58" s="24" t="s">
        <v>1</v>
      </c>
      <c r="F58" s="25"/>
      <c r="G58" s="24"/>
      <c r="H58" s="25"/>
    </row>
    <row r="59" spans="2:8" x14ac:dyDescent="0.25">
      <c r="B59" s="19" t="s">
        <v>18</v>
      </c>
      <c r="C59" s="20" t="s">
        <v>72</v>
      </c>
      <c r="D59" s="11" t="s">
        <v>20</v>
      </c>
      <c r="E59" s="27" t="s">
        <v>1</v>
      </c>
      <c r="F59" s="27" t="s">
        <v>42</v>
      </c>
      <c r="G59" s="27"/>
      <c r="H59" s="27"/>
    </row>
    <row r="60" spans="2:8" ht="98" x14ac:dyDescent="0.25">
      <c r="B60" s="19">
        <f>B58+1</f>
        <v>44</v>
      </c>
      <c r="C60" s="91" t="s">
        <v>146</v>
      </c>
      <c r="D60" s="37" t="s">
        <v>73</v>
      </c>
      <c r="E60" s="24"/>
      <c r="F60" s="25"/>
      <c r="G60" s="24"/>
      <c r="H60" s="25"/>
    </row>
    <row r="61" spans="2:8" ht="28" x14ac:dyDescent="0.25">
      <c r="B61" s="19">
        <f>B60+1</f>
        <v>45</v>
      </c>
      <c r="C61" s="92" t="s">
        <v>147</v>
      </c>
      <c r="D61" s="26" t="s">
        <v>148</v>
      </c>
      <c r="E61" s="24"/>
      <c r="F61" s="25"/>
      <c r="G61" s="24"/>
      <c r="H61" s="25"/>
    </row>
    <row r="62" spans="2:8" x14ac:dyDescent="0.25">
      <c r="B62" s="19">
        <f t="shared" ref="B62:B75" si="4">B61+1</f>
        <v>46</v>
      </c>
      <c r="C62" s="93" t="s">
        <v>149</v>
      </c>
      <c r="D62" s="26" t="s">
        <v>45</v>
      </c>
      <c r="E62" s="24"/>
      <c r="F62" s="25"/>
      <c r="G62" s="24"/>
      <c r="H62" s="25"/>
    </row>
    <row r="63" spans="2:8" x14ac:dyDescent="0.25">
      <c r="B63" s="19">
        <f t="shared" si="4"/>
        <v>47</v>
      </c>
      <c r="C63" s="93" t="s">
        <v>150</v>
      </c>
      <c r="D63" s="26" t="s">
        <v>45</v>
      </c>
      <c r="E63" s="24"/>
      <c r="F63" s="25"/>
      <c r="G63" s="24"/>
      <c r="H63" s="25"/>
    </row>
    <row r="64" spans="2:8" ht="28" x14ac:dyDescent="0.25">
      <c r="B64" s="19">
        <f t="shared" si="4"/>
        <v>48</v>
      </c>
      <c r="C64" s="93" t="s">
        <v>151</v>
      </c>
      <c r="D64" s="26" t="s">
        <v>74</v>
      </c>
      <c r="E64" s="24"/>
      <c r="F64" s="25"/>
      <c r="G64" s="24"/>
      <c r="H64" s="25"/>
    </row>
    <row r="65" spans="2:8" ht="28" x14ac:dyDescent="0.25">
      <c r="B65" s="19">
        <f t="shared" si="4"/>
        <v>49</v>
      </c>
      <c r="C65" s="93" t="s">
        <v>152</v>
      </c>
      <c r="D65" s="26" t="s">
        <v>75</v>
      </c>
      <c r="E65" s="24"/>
      <c r="F65" s="25"/>
      <c r="G65" s="24"/>
      <c r="H65" s="25"/>
    </row>
    <row r="66" spans="2:8" ht="28" x14ac:dyDescent="0.25">
      <c r="B66" s="75">
        <f t="shared" si="4"/>
        <v>50</v>
      </c>
      <c r="C66" s="92" t="s">
        <v>153</v>
      </c>
      <c r="D66" s="26" t="s">
        <v>148</v>
      </c>
      <c r="E66" s="24" t="s">
        <v>5</v>
      </c>
      <c r="F66" s="25"/>
      <c r="G66" s="24"/>
      <c r="H66" s="25"/>
    </row>
    <row r="67" spans="2:8" x14ac:dyDescent="0.25">
      <c r="B67" s="75">
        <f t="shared" si="4"/>
        <v>51</v>
      </c>
      <c r="C67" s="93" t="s">
        <v>149</v>
      </c>
      <c r="D67" s="26" t="s">
        <v>45</v>
      </c>
      <c r="E67" s="24" t="s">
        <v>5</v>
      </c>
      <c r="F67" s="25"/>
      <c r="G67" s="24"/>
      <c r="H67" s="25"/>
    </row>
    <row r="68" spans="2:8" x14ac:dyDescent="0.25">
      <c r="B68" s="75">
        <f t="shared" si="4"/>
        <v>52</v>
      </c>
      <c r="C68" s="93" t="s">
        <v>150</v>
      </c>
      <c r="D68" s="26" t="s">
        <v>45</v>
      </c>
      <c r="E68" s="24" t="s">
        <v>5</v>
      </c>
      <c r="F68" s="25"/>
      <c r="G68" s="24"/>
      <c r="H68" s="25"/>
    </row>
    <row r="69" spans="2:8" ht="28" x14ac:dyDescent="0.25">
      <c r="B69" s="75">
        <f t="shared" si="4"/>
        <v>53</v>
      </c>
      <c r="C69" s="93" t="s">
        <v>151</v>
      </c>
      <c r="D69" s="26" t="s">
        <v>74</v>
      </c>
      <c r="E69" s="24" t="s">
        <v>5</v>
      </c>
      <c r="F69" s="25"/>
      <c r="G69" s="24"/>
      <c r="H69" s="25"/>
    </row>
    <row r="70" spans="2:8" ht="28" x14ac:dyDescent="0.25">
      <c r="B70" s="75">
        <f t="shared" si="4"/>
        <v>54</v>
      </c>
      <c r="C70" s="93" t="s">
        <v>152</v>
      </c>
      <c r="D70" s="26" t="s">
        <v>75</v>
      </c>
      <c r="E70" s="24" t="s">
        <v>5</v>
      </c>
      <c r="F70" s="25"/>
      <c r="G70" s="24"/>
      <c r="H70" s="25"/>
    </row>
    <row r="71" spans="2:8" ht="28" x14ac:dyDescent="0.25">
      <c r="B71" s="75">
        <f t="shared" si="4"/>
        <v>55</v>
      </c>
      <c r="C71" s="92" t="s">
        <v>154</v>
      </c>
      <c r="D71" s="26" t="s">
        <v>148</v>
      </c>
      <c r="E71" s="24" t="s">
        <v>5</v>
      </c>
      <c r="F71" s="25"/>
      <c r="G71" s="24"/>
      <c r="H71" s="25"/>
    </row>
    <row r="72" spans="2:8" x14ac:dyDescent="0.25">
      <c r="B72" s="75">
        <f t="shared" si="4"/>
        <v>56</v>
      </c>
      <c r="C72" s="93" t="s">
        <v>149</v>
      </c>
      <c r="D72" s="26" t="s">
        <v>45</v>
      </c>
      <c r="E72" s="24" t="s">
        <v>5</v>
      </c>
      <c r="F72" s="25"/>
      <c r="G72" s="24"/>
      <c r="H72" s="25"/>
    </row>
    <row r="73" spans="2:8" x14ac:dyDescent="0.25">
      <c r="B73" s="75">
        <f t="shared" si="4"/>
        <v>57</v>
      </c>
      <c r="C73" s="93" t="s">
        <v>150</v>
      </c>
      <c r="D73" s="26" t="s">
        <v>45</v>
      </c>
      <c r="E73" s="24" t="s">
        <v>5</v>
      </c>
      <c r="F73" s="25"/>
      <c r="G73" s="24"/>
      <c r="H73" s="25"/>
    </row>
    <row r="74" spans="2:8" ht="28" x14ac:dyDescent="0.25">
      <c r="B74" s="75">
        <f t="shared" si="4"/>
        <v>58</v>
      </c>
      <c r="C74" s="93" t="s">
        <v>151</v>
      </c>
      <c r="D74" s="26" t="s">
        <v>74</v>
      </c>
      <c r="E74" s="24" t="s">
        <v>5</v>
      </c>
      <c r="F74" s="25"/>
      <c r="G74" s="24"/>
      <c r="H74" s="25"/>
    </row>
    <row r="75" spans="2:8" ht="28" x14ac:dyDescent="0.25">
      <c r="B75" s="75">
        <f t="shared" si="4"/>
        <v>59</v>
      </c>
      <c r="C75" s="93" t="s">
        <v>152</v>
      </c>
      <c r="D75" s="26" t="s">
        <v>75</v>
      </c>
      <c r="E75" s="24" t="s">
        <v>5</v>
      </c>
      <c r="F75" s="25"/>
      <c r="G75" s="24"/>
      <c r="H75" s="25"/>
    </row>
    <row r="76" spans="2:8" x14ac:dyDescent="0.25">
      <c r="B76" s="19" t="s">
        <v>18</v>
      </c>
      <c r="C76" s="57" t="s">
        <v>76</v>
      </c>
      <c r="D76" s="11" t="s">
        <v>20</v>
      </c>
      <c r="E76" s="27" t="s">
        <v>1</v>
      </c>
      <c r="F76" s="27" t="s">
        <v>42</v>
      </c>
      <c r="G76" s="27"/>
      <c r="H76" s="27"/>
    </row>
    <row r="77" spans="2:8" ht="42" x14ac:dyDescent="0.25">
      <c r="B77" s="19">
        <f>B75+1</f>
        <v>60</v>
      </c>
      <c r="C77" s="94" t="s">
        <v>95</v>
      </c>
      <c r="D77" s="33" t="s">
        <v>77</v>
      </c>
      <c r="E77" s="24"/>
      <c r="F77" s="25"/>
      <c r="G77" s="24"/>
      <c r="H77" s="25"/>
    </row>
    <row r="78" spans="2:8" ht="28" x14ac:dyDescent="0.25">
      <c r="B78" s="75">
        <f>B77+1</f>
        <v>61</v>
      </c>
      <c r="C78" s="56" t="s">
        <v>155</v>
      </c>
      <c r="D78" s="26" t="s">
        <v>156</v>
      </c>
      <c r="E78" s="24" t="s">
        <v>5</v>
      </c>
      <c r="F78" s="25"/>
      <c r="G78" s="24"/>
      <c r="H78" s="25"/>
    </row>
    <row r="79" spans="2:8" x14ac:dyDescent="0.25">
      <c r="B79" s="75">
        <f t="shared" ref="B79:B101" si="5">B78+1</f>
        <v>62</v>
      </c>
      <c r="C79" s="58" t="s">
        <v>96</v>
      </c>
      <c r="D79" s="33" t="s">
        <v>45</v>
      </c>
      <c r="E79" s="24" t="s">
        <v>5</v>
      </c>
      <c r="F79" s="25"/>
      <c r="G79" s="24"/>
      <c r="H79" s="25"/>
    </row>
    <row r="80" spans="2:8" x14ac:dyDescent="0.25">
      <c r="B80" s="75">
        <f t="shared" si="5"/>
        <v>63</v>
      </c>
      <c r="C80" s="58" t="s">
        <v>97</v>
      </c>
      <c r="D80" s="33" t="s">
        <v>45</v>
      </c>
      <c r="E80" s="24" t="s">
        <v>5</v>
      </c>
      <c r="F80" s="25"/>
      <c r="G80" s="24"/>
      <c r="H80" s="25"/>
    </row>
    <row r="81" spans="2:29" x14ac:dyDescent="0.25">
      <c r="B81" s="75">
        <f t="shared" si="5"/>
        <v>64</v>
      </c>
      <c r="C81" s="58" t="s">
        <v>98</v>
      </c>
      <c r="D81" s="33" t="s">
        <v>59</v>
      </c>
      <c r="E81" s="24" t="s">
        <v>5</v>
      </c>
      <c r="F81" s="25"/>
      <c r="G81" s="24"/>
      <c r="H81" s="25"/>
    </row>
    <row r="82" spans="2:29" x14ac:dyDescent="0.25">
      <c r="B82" s="75">
        <f t="shared" si="5"/>
        <v>65</v>
      </c>
      <c r="C82" s="58" t="s">
        <v>99</v>
      </c>
      <c r="D82" s="33" t="s">
        <v>78</v>
      </c>
      <c r="E82" s="24" t="s">
        <v>5</v>
      </c>
      <c r="F82" s="25"/>
      <c r="G82" s="24"/>
      <c r="H82" s="25"/>
    </row>
    <row r="83" spans="2:29" ht="28" x14ac:dyDescent="0.25">
      <c r="B83" s="75">
        <f t="shared" si="5"/>
        <v>66</v>
      </c>
      <c r="C83" s="58" t="s">
        <v>100</v>
      </c>
      <c r="D83" s="33"/>
      <c r="E83" s="24" t="s">
        <v>5</v>
      </c>
      <c r="F83" s="25"/>
      <c r="G83" s="24"/>
      <c r="H83" s="25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2:29" ht="28" x14ac:dyDescent="0.25">
      <c r="B84" s="75">
        <f t="shared" si="5"/>
        <v>67</v>
      </c>
      <c r="C84" s="56" t="s">
        <v>157</v>
      </c>
      <c r="D84" s="26" t="s">
        <v>158</v>
      </c>
      <c r="E84" s="24" t="s">
        <v>5</v>
      </c>
      <c r="F84" s="25"/>
      <c r="G84" s="24"/>
      <c r="H84" s="25"/>
    </row>
    <row r="85" spans="2:29" x14ac:dyDescent="0.25">
      <c r="B85" s="75">
        <f t="shared" si="5"/>
        <v>68</v>
      </c>
      <c r="C85" s="58" t="s">
        <v>96</v>
      </c>
      <c r="D85" s="26" t="s">
        <v>45</v>
      </c>
      <c r="E85" s="24" t="s">
        <v>5</v>
      </c>
      <c r="F85" s="25"/>
      <c r="G85" s="24"/>
      <c r="H85" s="25"/>
    </row>
    <row r="86" spans="2:29" x14ac:dyDescent="0.25">
      <c r="B86" s="75">
        <f t="shared" si="5"/>
        <v>69</v>
      </c>
      <c r="C86" s="58" t="s">
        <v>97</v>
      </c>
      <c r="D86" s="26" t="s">
        <v>45</v>
      </c>
      <c r="E86" s="24" t="s">
        <v>5</v>
      </c>
      <c r="F86" s="25"/>
      <c r="G86" s="24"/>
      <c r="H86" s="25"/>
    </row>
    <row r="87" spans="2:29" x14ac:dyDescent="0.25">
      <c r="B87" s="75">
        <f t="shared" si="5"/>
        <v>70</v>
      </c>
      <c r="C87" s="58" t="s">
        <v>98</v>
      </c>
      <c r="D87" s="26" t="s">
        <v>59</v>
      </c>
      <c r="E87" s="24" t="s">
        <v>5</v>
      </c>
      <c r="F87" s="25"/>
      <c r="G87" s="24"/>
      <c r="H87" s="25"/>
    </row>
    <row r="88" spans="2:29" x14ac:dyDescent="0.25">
      <c r="B88" s="75">
        <f t="shared" si="5"/>
        <v>71</v>
      </c>
      <c r="C88" s="58" t="s">
        <v>99</v>
      </c>
      <c r="D88" s="26" t="s">
        <v>78</v>
      </c>
      <c r="E88" s="24" t="s">
        <v>5</v>
      </c>
      <c r="F88" s="25"/>
      <c r="G88" s="24"/>
      <c r="H88" s="25"/>
    </row>
    <row r="89" spans="2:29" ht="28" x14ac:dyDescent="0.25">
      <c r="B89" s="75">
        <f t="shared" si="5"/>
        <v>72</v>
      </c>
      <c r="C89" s="58" t="s">
        <v>100</v>
      </c>
      <c r="D89" s="26"/>
      <c r="E89" s="24" t="s">
        <v>5</v>
      </c>
      <c r="F89" s="25"/>
      <c r="G89" s="24"/>
      <c r="H89" s="25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2:29" ht="28" x14ac:dyDescent="0.25">
      <c r="B90" s="75">
        <f t="shared" si="5"/>
        <v>73</v>
      </c>
      <c r="C90" s="56" t="s">
        <v>159</v>
      </c>
      <c r="D90" s="26" t="s">
        <v>160</v>
      </c>
      <c r="E90" s="24" t="s">
        <v>5</v>
      </c>
      <c r="F90" s="25"/>
      <c r="G90" s="24"/>
      <c r="H90" s="25"/>
    </row>
    <row r="91" spans="2:29" x14ac:dyDescent="0.25">
      <c r="B91" s="75">
        <f t="shared" si="5"/>
        <v>74</v>
      </c>
      <c r="C91" s="58" t="s">
        <v>96</v>
      </c>
      <c r="D91" s="33" t="s">
        <v>45</v>
      </c>
      <c r="E91" s="24" t="s">
        <v>5</v>
      </c>
      <c r="F91" s="25"/>
      <c r="G91" s="24"/>
      <c r="H91" s="25"/>
    </row>
    <row r="92" spans="2:29" x14ac:dyDescent="0.25">
      <c r="B92" s="75">
        <f t="shared" si="5"/>
        <v>75</v>
      </c>
      <c r="C92" s="58" t="s">
        <v>97</v>
      </c>
      <c r="D92" s="33" t="s">
        <v>45</v>
      </c>
      <c r="E92" s="24" t="s">
        <v>5</v>
      </c>
      <c r="F92" s="25"/>
      <c r="G92" s="24"/>
      <c r="H92" s="25"/>
    </row>
    <row r="93" spans="2:29" x14ac:dyDescent="0.25">
      <c r="B93" s="75">
        <f t="shared" si="5"/>
        <v>76</v>
      </c>
      <c r="C93" s="58" t="s">
        <v>98</v>
      </c>
      <c r="D93" s="33" t="s">
        <v>59</v>
      </c>
      <c r="E93" s="24" t="s">
        <v>5</v>
      </c>
      <c r="F93" s="25"/>
      <c r="G93" s="24"/>
      <c r="H93" s="25"/>
    </row>
    <row r="94" spans="2:29" x14ac:dyDescent="0.25">
      <c r="B94" s="75">
        <f t="shared" si="5"/>
        <v>77</v>
      </c>
      <c r="C94" s="58" t="s">
        <v>99</v>
      </c>
      <c r="D94" s="33" t="s">
        <v>78</v>
      </c>
      <c r="E94" s="24" t="s">
        <v>5</v>
      </c>
      <c r="F94" s="25"/>
      <c r="G94" s="24"/>
      <c r="H94" s="25"/>
    </row>
    <row r="95" spans="2:29" ht="28" x14ac:dyDescent="0.25">
      <c r="B95" s="75">
        <f t="shared" si="5"/>
        <v>78</v>
      </c>
      <c r="C95" s="58" t="s">
        <v>100</v>
      </c>
      <c r="D95" s="33"/>
      <c r="E95" s="24" t="s">
        <v>5</v>
      </c>
      <c r="F95" s="25"/>
      <c r="G95" s="24"/>
      <c r="H95" s="25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2:29" x14ac:dyDescent="0.25">
      <c r="B96" s="19">
        <f t="shared" si="5"/>
        <v>79</v>
      </c>
      <c r="C96" s="56" t="s">
        <v>161</v>
      </c>
      <c r="D96" s="26" t="s">
        <v>162</v>
      </c>
      <c r="E96" s="24"/>
      <c r="F96" s="25"/>
      <c r="G96" s="24"/>
      <c r="H96" s="25"/>
    </row>
    <row r="97" spans="2:29" x14ac:dyDescent="0.25">
      <c r="B97" s="19">
        <f t="shared" si="5"/>
        <v>80</v>
      </c>
      <c r="C97" s="58" t="s">
        <v>96</v>
      </c>
      <c r="D97" s="26" t="s">
        <v>45</v>
      </c>
      <c r="E97" s="24"/>
      <c r="F97" s="25"/>
      <c r="G97" s="24"/>
      <c r="H97" s="25"/>
    </row>
    <row r="98" spans="2:29" x14ac:dyDescent="0.25">
      <c r="B98" s="19">
        <f t="shared" si="5"/>
        <v>81</v>
      </c>
      <c r="C98" s="58" t="s">
        <v>97</v>
      </c>
      <c r="D98" s="26" t="s">
        <v>45</v>
      </c>
      <c r="E98" s="24"/>
      <c r="F98" s="25"/>
      <c r="G98" s="24"/>
      <c r="H98" s="25"/>
    </row>
    <row r="99" spans="2:29" x14ac:dyDescent="0.25">
      <c r="B99" s="19">
        <f t="shared" si="5"/>
        <v>82</v>
      </c>
      <c r="C99" s="58" t="s">
        <v>98</v>
      </c>
      <c r="D99" s="26" t="s">
        <v>59</v>
      </c>
      <c r="E99" s="24"/>
      <c r="F99" s="25"/>
      <c r="G99" s="24"/>
      <c r="H99" s="25"/>
    </row>
    <row r="100" spans="2:29" x14ac:dyDescent="0.25">
      <c r="B100" s="19">
        <f t="shared" si="5"/>
        <v>83</v>
      </c>
      <c r="C100" s="58" t="s">
        <v>99</v>
      </c>
      <c r="D100" s="26" t="s">
        <v>78</v>
      </c>
      <c r="E100" s="24"/>
      <c r="F100" s="25"/>
      <c r="G100" s="24"/>
      <c r="H100" s="25"/>
    </row>
    <row r="101" spans="2:29" ht="28" x14ac:dyDescent="0.25">
      <c r="B101" s="19">
        <f t="shared" si="5"/>
        <v>84</v>
      </c>
      <c r="C101" s="58" t="s">
        <v>100</v>
      </c>
      <c r="D101" s="26"/>
      <c r="E101" s="24"/>
      <c r="F101" s="25"/>
      <c r="G101" s="24"/>
      <c r="H101" s="25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2:29" ht="14.5" x14ac:dyDescent="0.25">
      <c r="B102" s="19" t="s">
        <v>18</v>
      </c>
      <c r="C102" s="20" t="s">
        <v>79</v>
      </c>
      <c r="D102" s="11" t="s">
        <v>20</v>
      </c>
      <c r="E102" s="27" t="s">
        <v>1</v>
      </c>
      <c r="F102" s="27" t="s">
        <v>42</v>
      </c>
      <c r="G102" s="27"/>
      <c r="H102" s="27"/>
    </row>
    <row r="103" spans="2:29" ht="28.5" thickBot="1" x14ac:dyDescent="0.3">
      <c r="B103" s="19">
        <f>B101+1</f>
        <v>85</v>
      </c>
      <c r="C103" s="95" t="s">
        <v>163</v>
      </c>
      <c r="D103" s="96" t="s">
        <v>164</v>
      </c>
      <c r="E103" s="24"/>
      <c r="F103" s="25"/>
      <c r="G103" s="24"/>
      <c r="H103" s="24"/>
    </row>
    <row r="104" spans="2:29" ht="28.5" thickBot="1" x14ac:dyDescent="0.3">
      <c r="B104" s="19">
        <f>B103+1</f>
        <v>86</v>
      </c>
      <c r="C104" s="95" t="s">
        <v>165</v>
      </c>
      <c r="D104" s="96" t="s">
        <v>166</v>
      </c>
      <c r="E104" s="24"/>
      <c r="F104" s="25"/>
      <c r="G104" s="24"/>
      <c r="H104" s="24"/>
    </row>
    <row r="105" spans="2:29" ht="42.5" thickBot="1" x14ac:dyDescent="0.3">
      <c r="B105" s="19">
        <f>B104+1</f>
        <v>87</v>
      </c>
      <c r="C105" s="95" t="s">
        <v>167</v>
      </c>
      <c r="D105" s="96" t="s">
        <v>168</v>
      </c>
      <c r="E105" s="24"/>
      <c r="F105" s="25"/>
      <c r="G105" s="24"/>
      <c r="H105" s="24"/>
    </row>
    <row r="106" spans="2:29" ht="28.5" thickBot="1" x14ac:dyDescent="0.3">
      <c r="B106" s="19">
        <f t="shared" ref="B106:B116" si="6">B105+1</f>
        <v>88</v>
      </c>
      <c r="C106" s="95" t="s">
        <v>169</v>
      </c>
      <c r="D106" s="96" t="s">
        <v>170</v>
      </c>
      <c r="E106" s="24"/>
      <c r="F106" s="25"/>
      <c r="G106" s="24"/>
      <c r="H106" s="24"/>
    </row>
    <row r="107" spans="2:29" ht="28.5" thickBot="1" x14ac:dyDescent="0.3">
      <c r="B107" s="19">
        <f t="shared" si="6"/>
        <v>89</v>
      </c>
      <c r="C107" s="95" t="s">
        <v>171</v>
      </c>
      <c r="D107" s="96" t="s">
        <v>172</v>
      </c>
      <c r="E107" s="24"/>
      <c r="F107" s="25"/>
      <c r="G107" s="24"/>
      <c r="H107" s="24"/>
    </row>
    <row r="108" spans="2:29" ht="28.5" thickBot="1" x14ac:dyDescent="0.3">
      <c r="B108" s="19">
        <f t="shared" si="6"/>
        <v>90</v>
      </c>
      <c r="C108" s="95" t="s">
        <v>173</v>
      </c>
      <c r="D108" s="96" t="s">
        <v>174</v>
      </c>
      <c r="E108" s="24"/>
      <c r="F108" s="25"/>
      <c r="G108" s="24"/>
      <c r="H108" s="24"/>
    </row>
    <row r="109" spans="2:29" ht="28.5" thickBot="1" x14ac:dyDescent="0.3">
      <c r="B109" s="75">
        <f t="shared" si="6"/>
        <v>91</v>
      </c>
      <c r="C109" s="95" t="s">
        <v>175</v>
      </c>
      <c r="D109" s="96" t="s">
        <v>176</v>
      </c>
      <c r="E109" s="24" t="s">
        <v>5</v>
      </c>
      <c r="F109" s="25" t="s">
        <v>177</v>
      </c>
      <c r="G109" s="24"/>
      <c r="H109" s="24"/>
    </row>
    <row r="110" spans="2:29" ht="44" customHeight="1" thickBot="1" x14ac:dyDescent="0.3">
      <c r="B110" s="75">
        <f t="shared" si="6"/>
        <v>92</v>
      </c>
      <c r="C110" s="95" t="s">
        <v>178</v>
      </c>
      <c r="D110" s="96" t="s">
        <v>179</v>
      </c>
      <c r="E110" s="24" t="s">
        <v>5</v>
      </c>
      <c r="F110" s="25" t="s">
        <v>177</v>
      </c>
      <c r="G110" s="24"/>
      <c r="H110" s="25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2:29" ht="44" customHeight="1" thickBot="1" x14ac:dyDescent="0.3">
      <c r="B111" s="75">
        <f t="shared" si="6"/>
        <v>93</v>
      </c>
      <c r="C111" s="95" t="s">
        <v>180</v>
      </c>
      <c r="D111" s="96" t="s">
        <v>181</v>
      </c>
      <c r="E111" s="24" t="s">
        <v>5</v>
      </c>
      <c r="F111" s="25" t="s">
        <v>177</v>
      </c>
      <c r="G111" s="24"/>
      <c r="H111" s="25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2:29" ht="44" customHeight="1" thickBot="1" x14ac:dyDescent="0.3">
      <c r="B112" s="75">
        <f t="shared" si="6"/>
        <v>94</v>
      </c>
      <c r="C112" s="95" t="s">
        <v>182</v>
      </c>
      <c r="D112" s="96" t="s">
        <v>183</v>
      </c>
      <c r="E112" s="24" t="s">
        <v>5</v>
      </c>
      <c r="F112" s="25" t="s">
        <v>177</v>
      </c>
      <c r="G112" s="24"/>
      <c r="H112" s="25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44" customHeight="1" thickBot="1" x14ac:dyDescent="0.3">
      <c r="B113" s="75">
        <f t="shared" si="6"/>
        <v>95</v>
      </c>
      <c r="C113" s="95" t="s">
        <v>184</v>
      </c>
      <c r="D113" s="96" t="s">
        <v>185</v>
      </c>
      <c r="E113" s="24" t="s">
        <v>5</v>
      </c>
      <c r="F113" s="25" t="s">
        <v>186</v>
      </c>
      <c r="G113" s="24"/>
      <c r="H113" s="25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44" customHeight="1" thickBot="1" x14ac:dyDescent="0.3">
      <c r="B114" s="75">
        <f t="shared" si="6"/>
        <v>96</v>
      </c>
      <c r="C114" s="95" t="s">
        <v>187</v>
      </c>
      <c r="D114" s="96" t="s">
        <v>188</v>
      </c>
      <c r="E114" s="24" t="s">
        <v>5</v>
      </c>
      <c r="F114" s="25" t="s">
        <v>189</v>
      </c>
      <c r="G114" s="24"/>
      <c r="H114" s="25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44" customHeight="1" thickBot="1" x14ac:dyDescent="0.3">
      <c r="B115" s="19">
        <f t="shared" si="6"/>
        <v>97</v>
      </c>
      <c r="C115" s="95" t="s">
        <v>190</v>
      </c>
      <c r="D115" s="96" t="s">
        <v>191</v>
      </c>
      <c r="E115" s="24"/>
      <c r="F115" s="25"/>
      <c r="G115" s="24"/>
      <c r="H115" s="25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44" customHeight="1" thickBot="1" x14ac:dyDescent="0.3">
      <c r="B116" s="19">
        <f t="shared" si="6"/>
        <v>98</v>
      </c>
      <c r="C116" s="95" t="s">
        <v>192</v>
      </c>
      <c r="D116" s="96" t="s">
        <v>193</v>
      </c>
      <c r="E116" s="24"/>
      <c r="F116" s="25"/>
      <c r="G116" s="24"/>
      <c r="H116" s="25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28.5" thickBot="1" x14ac:dyDescent="0.3">
      <c r="B117" s="19">
        <f>B116+1</f>
        <v>99</v>
      </c>
      <c r="C117" s="95" t="s">
        <v>194</v>
      </c>
      <c r="D117" s="96" t="s">
        <v>195</v>
      </c>
      <c r="E117" s="24"/>
      <c r="F117" s="25"/>
      <c r="G117" s="24"/>
      <c r="H117" s="25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28" x14ac:dyDescent="0.25">
      <c r="B118" s="19">
        <f t="shared" ref="B118:B119" si="7">B117+1</f>
        <v>100</v>
      </c>
      <c r="C118" s="97" t="s">
        <v>80</v>
      </c>
      <c r="D118" s="26" t="s">
        <v>45</v>
      </c>
      <c r="E118" s="24"/>
      <c r="F118" s="25"/>
      <c r="G118" s="24"/>
      <c r="H118" s="25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28" x14ac:dyDescent="0.25">
      <c r="B119" s="19">
        <f t="shared" si="7"/>
        <v>101</v>
      </c>
      <c r="C119" s="97" t="s">
        <v>81</v>
      </c>
      <c r="D119" s="26" t="s">
        <v>45</v>
      </c>
      <c r="E119" s="24"/>
      <c r="F119" s="25"/>
      <c r="G119" s="24"/>
      <c r="H119" s="25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x14ac:dyDescent="0.25">
      <c r="A120" s="39"/>
      <c r="B120" s="19" t="s">
        <v>18</v>
      </c>
      <c r="C120" s="20" t="s">
        <v>82</v>
      </c>
      <c r="D120" s="11"/>
      <c r="E120" s="27" t="s">
        <v>1</v>
      </c>
      <c r="F120" s="27" t="s">
        <v>42</v>
      </c>
      <c r="G120" s="27"/>
      <c r="H120" s="27"/>
    </row>
    <row r="121" spans="1:29" ht="28" x14ac:dyDescent="0.25">
      <c r="B121" s="75">
        <f>B119+1</f>
        <v>102</v>
      </c>
      <c r="C121" s="40" t="s">
        <v>83</v>
      </c>
      <c r="D121" s="23" t="s">
        <v>84</v>
      </c>
      <c r="E121" s="24" t="s">
        <v>5</v>
      </c>
      <c r="F121" s="25" t="s">
        <v>85</v>
      </c>
      <c r="G121" s="24"/>
      <c r="H121" s="25"/>
    </row>
    <row r="122" spans="1:29" ht="28" x14ac:dyDescent="0.25">
      <c r="B122" s="75">
        <f t="shared" ref="B122:B123" si="8">B121+1</f>
        <v>103</v>
      </c>
      <c r="C122" s="40" t="s">
        <v>86</v>
      </c>
      <c r="D122" s="23" t="s">
        <v>87</v>
      </c>
      <c r="E122" s="24" t="s">
        <v>5</v>
      </c>
      <c r="F122" s="25" t="s">
        <v>85</v>
      </c>
      <c r="G122" s="24"/>
      <c r="H122" s="25"/>
    </row>
    <row r="123" spans="1:29" ht="86" customHeight="1" x14ac:dyDescent="0.25">
      <c r="B123" s="75">
        <f t="shared" si="8"/>
        <v>104</v>
      </c>
      <c r="C123" s="40" t="s">
        <v>88</v>
      </c>
      <c r="D123" s="23" t="s">
        <v>89</v>
      </c>
      <c r="E123" s="24" t="s">
        <v>5</v>
      </c>
      <c r="F123" s="25"/>
      <c r="G123" s="24"/>
      <c r="H123" s="25"/>
    </row>
    <row r="124" spans="1:29" x14ac:dyDescent="0.25">
      <c r="B124" s="19"/>
      <c r="C124" s="20"/>
      <c r="D124" s="41"/>
      <c r="E124" s="27"/>
      <c r="F124" s="27"/>
      <c r="G124" s="27"/>
      <c r="H124" s="27"/>
    </row>
    <row r="125" spans="1:29" x14ac:dyDescent="0.25">
      <c r="B125" s="19"/>
      <c r="C125" s="33"/>
      <c r="D125" s="26"/>
      <c r="E125" s="24"/>
      <c r="F125" s="25"/>
      <c r="G125" s="24"/>
      <c r="H125" s="25"/>
    </row>
    <row r="126" spans="1:29" x14ac:dyDescent="0.25">
      <c r="B126" s="19"/>
      <c r="C126" s="33"/>
      <c r="D126" s="26"/>
      <c r="E126" s="24"/>
      <c r="F126" s="25"/>
      <c r="G126" s="24"/>
      <c r="H126" s="25"/>
    </row>
    <row r="127" spans="1:29" x14ac:dyDescent="0.25">
      <c r="C127" s="6" t="s">
        <v>90</v>
      </c>
      <c r="D127" s="8"/>
      <c r="E127" s="42">
        <f>IF((E$130+E$131)&gt;0,E$130/(E$130+E$131),0)</f>
        <v>1</v>
      </c>
      <c r="F127" s="43"/>
      <c r="G127" s="42">
        <f>IF((G$130+G$131)&gt;0,G$130/(G$130+G$131),0)</f>
        <v>0</v>
      </c>
      <c r="H127" s="43"/>
    </row>
    <row r="128" spans="1:29" x14ac:dyDescent="0.25">
      <c r="C128" s="44"/>
      <c r="D128" s="45"/>
      <c r="E128" s="46"/>
      <c r="F128" s="47"/>
      <c r="G128" s="46"/>
      <c r="H128" s="47"/>
    </row>
    <row r="129" spans="2:8" x14ac:dyDescent="0.25">
      <c r="C129" s="44" t="s">
        <v>91</v>
      </c>
      <c r="D129" s="45"/>
      <c r="E129" s="48">
        <f>COUNT($B$11:$B$126)</f>
        <v>104</v>
      </c>
      <c r="F129" s="47"/>
      <c r="G129" s="48">
        <f>COUNT($B$11:$B$126)</f>
        <v>104</v>
      </c>
      <c r="H129" s="47"/>
    </row>
    <row r="130" spans="2:8" x14ac:dyDescent="0.25">
      <c r="C130" s="49" t="s">
        <v>92</v>
      </c>
      <c r="E130" s="48">
        <f>COUNTIF(E$11:E$126,"OK")</f>
        <v>26</v>
      </c>
      <c r="G130" s="48">
        <f>COUNTIF(G$11:G$126,"OK")</f>
        <v>0</v>
      </c>
    </row>
    <row r="131" spans="2:8" x14ac:dyDescent="0.25">
      <c r="C131" s="51" t="s">
        <v>93</v>
      </c>
      <c r="D131" s="52"/>
      <c r="E131" s="48">
        <f>COUNTIF(E$11:E$126,"NO OK")</f>
        <v>0</v>
      </c>
      <c r="G131" s="48">
        <f>COUNTIF(G$11:G$126,"NO OK")</f>
        <v>0</v>
      </c>
    </row>
    <row r="132" spans="2:8" x14ac:dyDescent="0.25">
      <c r="C132" s="49" t="s">
        <v>94</v>
      </c>
      <c r="E132" s="48">
        <f>COUNTIF(E$11:E$126,"No Aplica")</f>
        <v>48</v>
      </c>
      <c r="G132" s="48">
        <f>COUNTIF(G$11:G$126,"No Aplica")</f>
        <v>0</v>
      </c>
    </row>
    <row r="133" spans="2:8" x14ac:dyDescent="0.25">
      <c r="E133" s="48"/>
      <c r="G133" s="48"/>
    </row>
    <row r="134" spans="2:8" s="55" customFormat="1" ht="37.5" x14ac:dyDescent="0.25">
      <c r="B134" s="53"/>
      <c r="C134" s="50"/>
      <c r="D134" s="50"/>
      <c r="E134" s="54" t="str">
        <f>IF(SUM(E$130:E$132)&lt;E$129, "Todavía faltan puntos por calificar.","Se han calificado ya todos los puntos para este Producto.")</f>
        <v>Todavía faltan puntos por calificar.</v>
      </c>
      <c r="G134" s="54" t="str">
        <f>IF(SUM(G$130:G$132)&lt;G$129, "Todavía faltan puntos por calificar.","Se han calificado ya todos los puntos para este Producto.")</f>
        <v>Todavía faltan puntos por calificar.</v>
      </c>
    </row>
  </sheetData>
  <mergeCells count="9">
    <mergeCell ref="C18:C19"/>
    <mergeCell ref="C14:C15"/>
    <mergeCell ref="C16:C17"/>
    <mergeCell ref="C6:D7"/>
    <mergeCell ref="C1:F1"/>
    <mergeCell ref="E3:F3"/>
    <mergeCell ref="G3:H3"/>
    <mergeCell ref="E4:F4"/>
    <mergeCell ref="G4:H4"/>
  </mergeCells>
  <dataValidations count="1">
    <dataValidation type="list" allowBlank="1" showInputMessage="1" showErrorMessage="1" sqref="G125:G126 G11:G20 G47:G54 G110:G119 G22:G27 G121:G123 E125:E126 G56:G58 G60:G75 G77:G101 G30:G45 E11:E20 E30:E45 E77:E101 E56:E58 E47:E54 E22:E27 E103:E119 E60:E75 E121:E123" xr:uid="{6DE8DE0E-A323-4E90-B3D8-AD2C2690D07D}">
      <formula1>$AC$1:$AC$3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2026-03-25T00:15:45Z</dcterms:created>
  <dcterms:modified xsi:type="dcterms:W3CDTF">2026-03-27T23:11:11Z</dcterms:modified>
</cp:coreProperties>
</file>