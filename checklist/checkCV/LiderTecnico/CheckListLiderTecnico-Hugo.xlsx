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quell.martinez\Documents\AISolutions\analyzeCV\checklist\checkCV\LiderTecnico\"/>
    </mc:Choice>
  </mc:AlternateContent>
  <xr:revisionPtr revIDLastSave="0" documentId="8_{467065F9-B861-41AF-B399-E31D72ED1023}" xr6:coauthVersionLast="47" xr6:coauthVersionMax="47" xr10:uidLastSave="{00000000-0000-0000-0000-000000000000}"/>
  <bookViews>
    <workbookView xWindow="28680" yWindow="-120" windowWidth="29040" windowHeight="15720" xr2:uid="{00000000-000D-0000-FFFF-FFFF00000000}"/>
  </bookViews>
  <sheets>
    <sheet name="Sheet1" sheetId="1" r:id="rId1"/>
    <sheet name="SinCoincidencia"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50" i="1" s="1"/>
  <c r="B51" i="1" s="1"/>
  <c r="B52" i="1" s="1"/>
  <c r="B53" i="1" s="1"/>
  <c r="B54" i="1" s="1"/>
  <c r="B55" i="1" s="1"/>
  <c r="B56" i="1" s="1"/>
  <c r="B57" i="1" s="1"/>
  <c r="B59" i="1" s="1"/>
  <c r="B60" i="1" s="1"/>
  <c r="B61" i="1" s="1"/>
  <c r="B62" i="1" s="1"/>
  <c r="B64" i="1" s="1"/>
  <c r="B65" i="1" s="1"/>
  <c r="B66" i="1" s="1"/>
  <c r="B67" i="1" s="1"/>
  <c r="B68" i="1" s="1"/>
  <c r="B69" i="1" s="1"/>
  <c r="B70" i="1" s="1"/>
  <c r="B71" i="1" s="1"/>
  <c r="B72" i="1" s="1"/>
  <c r="B73" i="1" s="1"/>
  <c r="B74" i="1" s="1"/>
  <c r="B75" i="1" s="1"/>
  <c r="B76" i="1" s="1"/>
  <c r="B77" i="1" s="1"/>
  <c r="B78" i="1" s="1"/>
  <c r="B79" i="1" s="1"/>
  <c r="B80" i="1" s="1"/>
  <c r="B81"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E149" i="1"/>
  <c r="E154" i="1" s="1"/>
  <c r="G149" i="1"/>
  <c r="G154" i="1" s="1"/>
</calcChain>
</file>

<file path=xl/sharedStrings.xml><?xml version="1.0" encoding="utf-8"?>
<sst xmlns="http://schemas.openxmlformats.org/spreadsheetml/2006/main" count="553" uniqueCount="271">
  <si>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</si>
  <si>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</si>
  <si>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</si>
  <si>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</si>
  <si>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</si>
  <si>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</si>
  <si>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</si>
  <si>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</si>
  <si>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</si>
  <si>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</si>
  <si>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12/04/2026</t>
  </si>
  <si>
    <t>Revisor: Nombre (IS)</t>
  </si>
  <si>
    <t>Expediente de cada participante</t>
  </si>
  <si>
    <t>Líder Técnico</t>
  </si>
  <si>
    <t>#</t>
  </si>
  <si>
    <t>Concepto</t>
  </si>
  <si>
    <t>Descripción</t>
  </si>
  <si>
    <t>OK?</t>
  </si>
  <si>
    <t>Observaciones del Revisor</t>
  </si>
  <si>
    <t>Sección</t>
  </si>
  <si>
    <t>Formato del Documento</t>
  </si>
  <si>
    <t>Detalle</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</si>
  <si>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</si>
  <si>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</si>
  <si>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</si>
  <si>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</si>
  <si>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</si>
  <si>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</si>
  <si>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</si>
  <si>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</si>
  <si>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</si>
  <si>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</si>
  <si>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“Líder Técnico”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</si>
  <si>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</si>
  <si>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</si>
  <si>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</si>
  <si>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</si>
  <si>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</si>
  <si>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</si>
  <si>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</si>
  <si>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</si>
  <si>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</si>
  <si>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</si>
  <si>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</si>
  <si>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</si>
  <si>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</si>
  <si>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</si>
  <si>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</si>
  <si>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</si>
  <si>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</si>
  <si>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</si>
  <si>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</si>
  <si>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</si>
  <si>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</si>
  <si>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</si>
  <si>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</si>
  <si>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</si>
  <si>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5 años de experiencia comprobada en desarrollo de software y liderazgo técnico, así como atención y resolución de problemas. Dominio en las tecnologías de la Arquitectura de Referencia (AR) y/o tecnologías open source ?</t>
  </si>
  <si>
    <t>Para el rol del Líder Técnico
Al menos 5 años de experiencia en desarrollo de software y liderazgo técnico, así como atención y resolución de problemas.
Dominio en las tecnologías de la Arquitectura de Referencia (AR) 
y/o tecnologías open source</t>
  </si>
  <si>
    <t>¿El CV acredita que almenos tiene 3 años de experiencia comprobada en desarrollo en metodologías ágiles?</t>
  </si>
  <si>
    <t>Adicional:
Al menos 3 años de experiencia en desarrollo en metodologías ágiles</t>
  </si>
  <si>
    <t>¿El CV acredita funciones de dirección y coordinación a equipos de trabajo implementando y optimizando tecnologías para alcanzar objetivos estratégicos de desarrollo, asegurando la calidad del software, la correcta implementación de las soluciones y el uso adecuado de herramientas y buenas prácticas?</t>
  </si>
  <si>
    <t>Dirigir y coordinar a equipos de trabajo implementando y optimizando tecnologías para alcanzar objetivos estratégicos de desarrollo, asegurando la calidad del software, la correcta implementación de las soluciones y el uso adecuado de herramientas y buenas prácticas. 
Actuar como puente entre el equipo técnico y otras áreas del proyecto o de la institución.
Garantizar la integración de los componentes técnicos y alinearlos a la arquitectura y seguridad del SAT.
Habilidades en: 
Gestión de Proyectos
Liderazgo</t>
  </si>
  <si>
    <t>¿Ha liderado diseño técnico (EDA, FCU/FCUN, MSF) y obtenido VoBo de arquitectura/áreas técnicas?</t>
  </si>
  <si>
    <t>Artefactos + VoBo arquitectura</t>
  </si>
  <si>
    <t>¿Ha definido y controlado prácticas de codificación y ramas en GitLab (MR, code review, políticas)?</t>
  </si>
  <si>
    <t>Políticas ramas/MR + ejemplos</t>
  </si>
  <si>
    <t>¿Ha asegurado calidad de código con SAST (SonarQube) y coordinado remediaciones hasta “cero bloqueantes/críticos/altos”?</t>
  </si>
  <si>
    <t>Reportes SAST + evidencias fixes</t>
  </si>
  <si>
    <t>¿Ha coordinado pruebas funcionales/integración y de desempeño con reportes y criterios de aceptación?</t>
  </si>
  <si>
    <t>Plan + Matriz + reportes</t>
  </si>
  <si>
    <t>¿Ha construido y entregado paquetes a AVL (artefactos en Nexus/Archiva, bitácoras, checklist de liberación)?</t>
  </si>
  <si>
    <t>Acuses AVL + registros Nexus</t>
  </si>
  <si>
    <t>¿Ha gestionado ambientes (INT/UAT/PROD) con Torre SAT/SSO/RAPE/AAT, incluyendo troubleshooting?</t>
  </si>
  <si>
    <t>Actas/VoBo + minutas</t>
  </si>
  <si>
    <t>¿Ha capacitado al equipo que dará soporte al software que se libera (ej.  Mesa SAT) en aspectos técnicos del servicio previo a la puesta en producción?</t>
  </si>
  <si>
    <t>Agenda/listas/material</t>
  </si>
  <si>
    <t>¿Ha liderado la estimación técnica insumo de EUHE/PT y soportado el cierre con CAES?</t>
  </si>
  <si>
    <t>Estimaciones sobre las actividades de su rol (ej. EUHE/PT + CAES)</t>
  </si>
  <si>
    <t>¿La experiencia suma ≥5 años en desarrollo de software y liderazgo técnico, así como atención y resolución de problemas. Dominio en las tecnologías de la Arquitectura de Referencia (AR) y/o tecnologías open source?</t>
  </si>
  <si>
    <t>¿La cronología de periodos laborales suma al menos los 5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</si>
  <si>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</si>
  <si>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</si>
  <si>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</si>
  <si>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</si>
  <si>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</si>
  <si>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</si>
  <si>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</si>
  <si>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</si>
  <si>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</si>
  <si>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Gestión de proyectos
- Liderazgo?</t>
  </si>
  <si>
    <t>¿El CV presenta numeralia (años, FTEs, presupuesto, metodología, resultados medibles) para contextualizar el alcance gestionado?</t>
  </si>
  <si>
    <t>años, alcance, equipo gestionado, metodología y resultados medibles.</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</si>
  <si>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</si>
  <si>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</si>
  <si>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</si>
  <si>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</si>
  <si>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</si>
  <si>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</si>
  <si>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</si>
  <si>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t>
  </si>
  <si>
    <t>Cédula profesional en texto
Colocar el número que aparece en la cédula, asegurarse que es idéntico</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</si>
  <si>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</si>
  <si>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</si>
  <si>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</si>
  <si>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</si>
  <si>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</si>
  <si>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</si>
  <si>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</si>
  <si>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</si>
  <si>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</si>
  <si>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</si>
  <si>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</si>
  <si>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</si>
  <si>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</si>
  <si>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Certificaciones</t>
  </si>
  <si>
    <t xml:space="preserve">Adicional es deseable alguna de las siguientes certificaciones vigente:
ITIL v4
SCRUM Master </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</si>
  <si>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</si>
  <si>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</si>
  <si>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</si>
  <si>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</si>
  <si>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</si>
  <si>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¿El candidato cuenta con la certificación ITIL v4 Foundation vigente?</t>
  </si>
  <si>
    <t xml:space="preserve">Acreditar al menos 1 certificación vigente </t>
  </si>
  <si>
    <t>¿El candidato posee Scrum Master vigente como certificación adicional (si es la seleccionada)?</t>
  </si>
  <si>
    <t xml:space="preserve">La certificación 1 es legible y vigente </t>
  </si>
  <si>
    <t xml:space="preserve">El documento oficial de cada certificado está en el repositorio
Especificar cuál es de las siguientes: 
ITIL v4
SCRUM Master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</si>
  <si>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</si>
  <si>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</si>
  <si>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</si>
  <si>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</si>
  <si>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</si>
  <si>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</si>
  <si>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</si>
  <si>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</si>
  <si>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</si>
  <si>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 xml:space="preserve">El documento oficial de cada certificado está en el repositorio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</si>
  <si>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</si>
  <si>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</si>
  <si>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</si>
  <si>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</si>
  <si>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</si>
  <si>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</si>
  <si>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</si>
  <si>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</si>
  <si>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</si>
  <si>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</si>
  <si>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</si>
  <si>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</si>
  <si>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</si>
  <si>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</si>
  <si>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</si>
  <si>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</si>
  <si>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</si>
  <si>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</si>
  <si>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</si>
  <si>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</si>
  <si>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</si>
  <si>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</si>
  <si>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¿El CV evidencia uso profesional de Jira/MS Project para la gestión del ciclo de vida ágil, demostrando dominio en la configuración de tableros (Kanban/Scrum), gestión del Backlog (Epics/Stories), medición de velocidad/throughput y coordinación de ceremonias para asegurar liberaciones continuas sin impedimentos</t>
  </si>
  <si>
    <t>Dominio de herramientas relacionadas con la gestión y operación del servicio o de proyectos.
Aclarar que ha sido en proyectos grandes/críticos</t>
  </si>
  <si>
    <t>¿El CV acredita liderazgo técnico en la ejecución de flujos de valor bajo ITIL 4, demostrando la estabilidad de servicios 24x7 mediante la dirección de diagnósticos de causa raíz (Problemas), la supervisión técnica de cambios complejos y la garantía de calidad en el ciclo de vida del software para el cumplimiento de SLAs?</t>
  </si>
  <si>
    <t>El líder técnico no solo administra el folio del problema; dirige al equipo en el troubleshooting profundo para encontrar la causa raíz técnica y evitar que se repita.
En lugar de solo "habilitar" el cambio, el líder técnico valida que el impacto técnico sea mínimo y que el plan de implementación sea seguro para la Continuidad Operativa.
Asegura que las etapas de mantenimiento se cumplan con rigor técnico para que los entregables no reboten en la fase de QA.</t>
  </si>
  <si>
    <t>¿El CV evidencia dominio del diseño técnico usando artefactos institucionales (EDA, FCU/FCUN, MSF) y gestión en herramienta colaborativa?</t>
  </si>
  <si>
    <t>Ejemplos de EDA/FCU/FCUN/MSF con VoBo; repositorio con versiones</t>
  </si>
  <si>
    <t>¿Opera GitLab bajo estándares institucionales (ramas, tags, MR, code review, pipelines)?</t>
  </si>
  <si>
    <t>Historial MR/commits, política de ramas, pipelines ejecutados</t>
  </si>
  <si>
    <t>¿Utiliza herramientas de gestión de configuración y repositorios de artefactos (Nexus/Archiva) para dependencias y entregables?</t>
  </si>
  <si>
    <t>Registro de artefactos, checklist de paquete, versionado</t>
  </si>
  <si>
    <t>¿Domina SonarQube (SAST) y gestiona la remediación hasta lograr “cero bloqueantes/críticos/altos” previo a liberación?</t>
  </si>
  <si>
    <t>Reportes SAST, evidencia de fixes, VoBo de seguridad</t>
  </si>
  <si>
    <t>¿Utiliza herramientas o scripts para ejecutar o coordinar DAST (análisis dinámico) previo a liberación?</t>
  </si>
  <si>
    <t>Reporte DAST + VoBo + evidencia de re‑pruebas</t>
  </si>
  <si>
    <t>¿Opera el sistema Monitor para programar ventanas de liberación, seguimiento de compilación y verificación de estatus del paquete?</t>
  </si>
  <si>
    <t>Calendarios, bitácoras Monitor, acuse “paquete recibido por AVL”</t>
  </si>
  <si>
    <t>¿Prepara paquetes aplicativos conforme al estándar AVL, usando plantillas y checklists institucionales?</t>
  </si>
  <si>
    <t>Checklist AVL, manuales, scripts, evidencia de empaquetado</t>
  </si>
  <si>
    <t>¿Gestiona herramientas para troubleshooting técnico (logs, monitoreo, trazas), integrando hallazgos a tickets y minutas de UAT/PROD?</t>
  </si>
  <si>
    <t>Minutas troubleshooting, capturas de logs, JIRAs/MSSAT</t>
  </si>
  <si>
    <t>¿Administra herramientas de ambientes (INT/UAT/PROD), validando despliegues, configuraciones y VoBo con Torre SAT/SSO/RAPE/AAT?</t>
  </si>
  <si>
    <t>Actas, VoBo, reportes de ambiente, bitácoras</t>
  </si>
  <si>
    <t>¿Utiliza herramientas de gestión de pruebas (matrices, planillas, dashboards) para consolidar resultados de pruebas funcionales, integración y desempeño?</t>
  </si>
  <si>
    <t>Plan de pruebas, RPFU, matriz trazabilidad, reportes</t>
  </si>
  <si>
    <t>¿Participa en herramientas de estimación (EUHE 3‑puntos, PT, PSE) para CAPA/CAPA V2, asegurando trazabilidad del cálculo?</t>
  </si>
  <si>
    <t>EUHE (O/M/P), PT (WBS), PSE, CAPA en herramienta</t>
  </si>
  <si>
    <t>¿Opera repositorios colaborativos (SharePoint, Confluence, OneDrive) con control de versiones para documentos técnicos?</t>
  </si>
  <si>
    <t>Historial de versiones; permisos; evidencia de coedición</t>
  </si>
  <si>
    <t>¿Integra evidencias por fase (capturas, logs, VoBo, matrices) en las carpetas mensuales para dictamen?</t>
  </si>
  <si>
    <t>Carpeta del mes; checklist; acuse de entrega</t>
  </si>
  <si>
    <t>¿Utiliza herramientas para capacitar a MSSAT (material técnico, sesiones, minutas), previo a PROD?</t>
  </si>
  <si>
    <t>Material, lista de asistencia, guía técnica</t>
  </si>
  <si>
    <t>¿Gestiona métricas operativas en tableros (SLA/OLA, defectos, velocidad, hallazgos de pruebas) usando herramientas de BI u hojas de cálculo avanzadas?</t>
  </si>
  <si>
    <t>Dashboard; tabla dinámica; KPIs mensuales</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</si>
  <si>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</si>
  <si>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</si>
  <si>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</si>
  <si>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</si>
  <si>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</si>
  <si>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</si>
  <si>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</si>
  <si>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</si>
  <si>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</si>
  <si>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</si>
  <si>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</si>
  <si>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</si>
  <si>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</si>
  <si>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</si>
  <si>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</si>
  <si>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</si>
  <si>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</si>
  <si>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</si>
  <si>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</si>
  <si>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</si>
  <si>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</si>
  <si>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</si>
  <si>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</si>
  <si>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</si>
  <si>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</si>
  <si>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</si>
  <si>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</si>
  <si>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</si>
  <si>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lider tecnico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</si>
  <si>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</si>
  <si>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</si>
  <si>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</si>
  <si>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</si>
  <si>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</si>
  <si>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</si>
  <si>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</si>
  <si>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</si>
  <si>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</si>
  <si>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</si>
  <si>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</si>
  <si>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</si>
  <si>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</si>
  <si>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ha liderado diseno tecnico eda fcufcun msf y obtenido vobo de arquitecturaareas tecnicas</t>
  </si>
  <si>
    <t>ha construido y entregado paquetes a avl artefactos en nexusarchiva bitacoras checklist de liberacion</t>
  </si>
  <si>
    <t>ha liderado la estimacion tecnica insumo de euhept y soportado el cierre con caes</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</si>
  <si>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</si>
  <si>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</si>
  <si>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</si>
  <si>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</si>
  <si>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</si>
  <si>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</si>
  <si>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</si>
  <si>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</si>
  <si>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</si>
  <si>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</si>
  <si>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</si>
  <si>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</si>
  <si>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</si>
  <si>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</si>
  <si>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el candidato cuenta con la certificacion itil v4 foundation vigente</t>
  </si>
  <si>
    <t>cursos</t>
  </si>
  <si>
    <t>las constancias de cursos estan digitalizadas con nombre coincidente y listas para cotejo</t>
  </si>
  <si>
    <t>el candidato adjunta constancia de cursos de lenguajes de programacion</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</si>
  <si>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</si>
  <si>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</si>
  <si>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</si>
  <si>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</si>
  <si>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domino de herramientas</t>
  </si>
  <si>
    <t>el cv evidencia dominio del diseno tecnico usando artefactos institucionales eda fcufcun msf y gestion en herramienta colaborativa</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</si>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</sst>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
      <sz val="10"/>
      <color rgb="FFFF0000"/>
      <name val="Arial Narrow"/>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theme="2"/>
        <bgColor indexed="64"/>
      </patternFill>
    </fill>
    <fill>
      <patternFill patternType="solid">
        <fgColor rgb="FF8E8EB4"/>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2">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7" fillId="6"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14" fillId="0" borderId="0" xfId="0" applyFont="1" applyAlignment="1">
      <alignment vertical="center" wrapText="1"/>
    </xf>
    <xf numFmtId="0" fontId="7" fillId="0" borderId="2" xfId="1" applyFont="1" applyBorder="1" applyAlignment="1">
      <alignment vertical="top" wrapText="1"/>
    </xf>
    <xf numFmtId="0" fontId="12" fillId="0" borderId="8" xfId="1" applyFont="1" applyBorder="1" applyAlignment="1">
      <alignment vertical="top"/>
    </xf>
    <xf numFmtId="0" fontId="9" fillId="7" borderId="9" xfId="1" applyFont="1" applyFill="1" applyBorder="1" applyAlignment="1">
      <alignment vertical="top"/>
    </xf>
    <xf numFmtId="0" fontId="9" fillId="7"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7" fillId="0" borderId="2" xfId="1" applyFont="1" applyBorder="1" applyAlignment="1">
      <alignment horizontal="left" vertical="top" wrapText="1"/>
    </xf>
    <xf numFmtId="0" fontId="9" fillId="7" borderId="4" xfId="1" applyFont="1" applyFill="1" applyBorder="1" applyAlignment="1">
      <alignment vertical="top"/>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7" fillId="0" borderId="10" xfId="1" applyFont="1" applyBorder="1" applyAlignment="1">
      <alignment vertical="top" wrapText="1"/>
    </xf>
    <xf numFmtId="0" fontId="7" fillId="0" borderId="3" xfId="1" applyFont="1" applyBorder="1" applyAlignment="1">
      <alignmen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6"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4" fillId="0" borderId="4" xfId="1" applyFont="1" applyBorder="1" applyAlignment="1">
      <alignment vertical="top" wrapText="1"/>
    </xf>
    <xf numFmtId="0" fontId="4" fillId="3" borderId="9" xfId="1" applyFont="1" applyFill="1" applyBorder="1" applyAlignment="1">
      <alignment vertical="top"/>
    </xf>
    <xf numFmtId="0" fontId="2" fillId="8" borderId="3" xfId="1" applyFont="1" applyFill="1" applyBorder="1" applyAlignment="1">
      <alignment vertical="center"/>
    </xf>
    <xf numFmtId="0" fontId="2" fillId="9" borderId="3" xfId="1" applyFont="1" applyFill="1" applyBorder="1" applyAlignment="1">
      <alignment vertical="center"/>
    </xf>
    <xf numFmtId="0" fontId="4" fillId="0" borderId="2" xfId="1" applyFont="1" applyBorder="1" applyAlignment="1">
      <alignment horizontal="center" vertical="top" wrapText="1"/>
    </xf>
    <xf numFmtId="0" fontId="14" fillId="0" borderId="2" xfId="0" applyFont="1" applyBorder="1" applyAlignment="1">
      <alignment vertical="top" wrapText="1"/>
    </xf>
    <xf numFmtId="0" fontId="14" fillId="0" borderId="4" xfId="0" applyFont="1" applyBorder="1" applyAlignment="1">
      <alignment vertical="top" wrapText="1"/>
    </xf>
    <xf numFmtId="0" fontId="14" fillId="0" borderId="11" xfId="0" applyFont="1" applyBorder="1" applyAlignment="1">
      <alignment horizontal="left" vertical="center" wrapText="1" indent="2"/>
    </xf>
    <xf numFmtId="0" fontId="14" fillId="0" borderId="11" xfId="0" applyFont="1" applyBorder="1" applyAlignment="1">
      <alignment vertical="center" wrapText="1"/>
    </xf>
    <xf numFmtId="0" fontId="14" fillId="10" borderId="11" xfId="0" applyFont="1" applyFill="1" applyBorder="1" applyAlignment="1">
      <alignment horizontal="left" vertical="center" wrapText="1" indent="2"/>
    </xf>
    <xf numFmtId="0" fontId="14" fillId="10" borderId="4" xfId="0" applyFont="1" applyFill="1" applyBorder="1" applyAlignment="1">
      <alignment vertical="top"/>
    </xf>
    <xf numFmtId="0" fontId="7" fillId="0" borderId="4" xfId="0" applyFont="1" applyBorder="1" applyAlignment="1">
      <alignment vertical="top" wrapText="1"/>
    </xf>
    <xf numFmtId="0" fontId="7" fillId="0" borderId="4" xfId="0" applyFont="1" applyBorder="1" applyAlignment="1">
      <alignment vertical="top"/>
    </xf>
    <xf numFmtId="0" fontId="14" fillId="6" borderId="4" xfId="0" applyFont="1" applyFill="1" applyBorder="1" applyAlignment="1">
      <alignment horizontal="left" vertical="top" wrapText="1" indent="2"/>
    </xf>
    <xf numFmtId="0" fontId="14" fillId="6" borderId="4" xfId="0" applyFont="1" applyFill="1" applyBorder="1" applyAlignment="1">
      <alignment horizontal="left" vertical="top" wrapText="1"/>
    </xf>
    <xf numFmtId="0" fontId="19" fillId="2" borderId="1" xfId="1" applyFont="1" applyFill="1" applyBorder="1" applyAlignment="1">
      <alignment vertical="top"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184150</xdr:rowOff>
    </xdr:from>
    <xdr:to>
      <xdr:col>2</xdr:col>
      <xdr:colOff>873125</xdr:colOff>
      <xdr:row>4</xdr:row>
      <xdr:rowOff>122030</xdr:rowOff>
    </xdr:to>
    <xdr:pic>
      <xdr:nvPicPr>
        <xdr:cNvPr id="2" name="Picture 2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33475" y="400050"/>
          <a:ext cx="838200" cy="483980"/>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149394</xdr:rowOff>
    </xdr:to>
    <xdr:pic>
      <xdr:nvPicPr>
        <xdr:cNvPr id="3" name="Graphic 2" descr="Work from home Wi-Fi outline">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364434" cy="34941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144614</xdr:rowOff>
    </xdr:to>
    <xdr:pic>
      <xdr:nvPicPr>
        <xdr:cNvPr id="4" name="Picture 3"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44639"/>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4"/>
  <sheetViews>
    <sheetView tabSelected="1" topLeftCell="A72" workbookViewId="0">
      <selection activeCell="F11" sqref="F11:F143"/>
    </sheetView>
  </sheetViews>
  <sheetFormatPr defaultColWidth="9.1796875" defaultRowHeight="14" x14ac:dyDescent="0.25"/>
  <cols>
    <col min="1" max="1" width="9.1796875" style="2" customWidth="1"/>
    <col min="2" max="2" width="6.90625" style="1" bestFit="1" customWidth="1"/>
    <col min="3" max="3" width="58.36328125" style="50" customWidth="1"/>
    <col min="4" max="4" width="57" style="51"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80" t="s">
        <v>0</v>
      </c>
      <c r="D1" s="78"/>
      <c r="E1" s="81"/>
      <c r="F1" s="74"/>
      <c r="G1" s="2"/>
      <c r="AC1" s="2" t="s">
        <v>1</v>
      </c>
    </row>
    <row r="2" spans="2:29" x14ac:dyDescent="0.25">
      <c r="C2" s="3"/>
      <c r="D2" s="4"/>
      <c r="AC2" s="2" t="s">
        <v>2</v>
      </c>
    </row>
    <row r="3" spans="2:29" ht="14.5" x14ac:dyDescent="0.35">
      <c r="C3" s="6" t="s">
        <v>3</v>
      </c>
      <c r="D3" s="4" t="s">
        <v>4</v>
      </c>
      <c r="E3" s="75" t="s">
        <v>4</v>
      </c>
      <c r="F3" s="76"/>
      <c r="G3" s="73"/>
      <c r="H3" s="74"/>
      <c r="AC3" s="2" t="s">
        <v>5</v>
      </c>
    </row>
    <row r="4" spans="2:29" ht="14.5" x14ac:dyDescent="0.35">
      <c r="C4" s="6" t="s">
        <v>6</v>
      </c>
      <c r="D4" s="8"/>
      <c r="E4" s="75" t="s">
        <v>7</v>
      </c>
      <c r="F4" s="76"/>
      <c r="G4" s="73"/>
      <c r="H4" s="74"/>
      <c r="AC4" s="2" t="s">
        <v>5</v>
      </c>
    </row>
    <row r="5" spans="2:29" x14ac:dyDescent="0.3">
      <c r="C5" s="6"/>
      <c r="D5" s="8"/>
      <c r="E5" s="9"/>
      <c r="F5" s="9"/>
      <c r="G5" s="9"/>
      <c r="H5" s="7"/>
    </row>
    <row r="6" spans="2:29" ht="15" customHeight="1" x14ac:dyDescent="0.25">
      <c r="C6" s="77" t="s">
        <v>8</v>
      </c>
      <c r="D6" s="78"/>
      <c r="E6" s="10" t="s">
        <v>9</v>
      </c>
      <c r="F6" s="10" t="s">
        <v>10</v>
      </c>
      <c r="G6" s="10" t="s">
        <v>9</v>
      </c>
      <c r="H6" s="10"/>
    </row>
    <row r="7" spans="2:29" ht="13.5" customHeight="1" x14ac:dyDescent="0.25">
      <c r="C7" s="79"/>
      <c r="D7" s="78"/>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t="s">
        <v>21</v>
      </c>
      <c r="E10" s="21"/>
      <c r="F10" s="21"/>
      <c r="G10" s="21"/>
      <c r="H10" s="21"/>
    </row>
    <row r="11" spans="2:29" ht="56" customHeight="1" x14ac:dyDescent="0.25">
      <c r="B11" s="59">
        <v>1</v>
      </c>
      <c r="C11" s="31" t="s">
        <v>22</v>
      </c>
      <c r="D11" s="26" t="s">
        <v>23</v>
      </c>
      <c r="E11" s="23" t="s">
        <v>5</v>
      </c>
      <c r="F11" s="24"/>
      <c r="G11" s="23"/>
      <c r="H11" s="24"/>
    </row>
    <row r="12" spans="2:29" ht="28" customHeight="1" x14ac:dyDescent="0.25">
      <c r="B12" s="60">
        <f t="shared" ref="B12:B20" si="0">B11+1</f>
        <v>2</v>
      </c>
      <c r="C12" s="31" t="s">
        <v>24</v>
      </c>
      <c r="D12" s="31" t="s">
        <v>25</v>
      </c>
      <c r="E12" s="23" t="s">
        <v>1</v>
      </c>
      <c r="F12" s="24"/>
      <c r="G12" s="23"/>
      <c r="H12" s="24"/>
    </row>
    <row r="13" spans="2:29" ht="28" customHeight="1" x14ac:dyDescent="0.25">
      <c r="B13" s="60">
        <f t="shared" si="0"/>
        <v>3</v>
      </c>
      <c r="C13" s="31" t="s">
        <v>26</v>
      </c>
      <c r="D13" s="31" t="s">
        <v>27</v>
      </c>
      <c r="E13" s="23" t="s">
        <v>1</v>
      </c>
      <c r="F13" s="24"/>
      <c r="G13" s="23"/>
      <c r="H13" s="24"/>
    </row>
    <row r="14" spans="2:29" ht="28" customHeight="1" x14ac:dyDescent="0.25">
      <c r="B14" s="60">
        <f t="shared" si="0"/>
        <v>4</v>
      </c>
      <c r="C14" s="31" t="s">
        <v>28</v>
      </c>
      <c r="D14" s="26" t="s">
        <v>29</v>
      </c>
      <c r="E14" s="23" t="s">
        <v>1</v>
      </c>
      <c r="F14" s="24"/>
      <c r="G14" s="23"/>
      <c r="H14" s="24"/>
    </row>
    <row r="15" spans="2:29" ht="28" customHeight="1" x14ac:dyDescent="0.25">
      <c r="B15" s="60">
        <f t="shared" si="0"/>
        <v>5</v>
      </c>
      <c r="C15" s="31" t="s">
        <v>30</v>
      </c>
      <c r="D15" s="61" t="s">
        <v>31</v>
      </c>
      <c r="E15" s="23" t="s">
        <v>1</v>
      </c>
      <c r="F15" s="24"/>
      <c r="G15" s="23"/>
      <c r="H15" s="24"/>
    </row>
    <row r="16" spans="2:29" ht="42" customHeight="1" x14ac:dyDescent="0.25">
      <c r="B16" s="60">
        <f t="shared" si="0"/>
        <v>6</v>
      </c>
      <c r="C16" s="25" t="s">
        <v>32</v>
      </c>
      <c r="D16" s="26" t="s">
        <v>33</v>
      </c>
      <c r="E16" s="23" t="s">
        <v>1</v>
      </c>
      <c r="F16" s="24"/>
      <c r="G16" s="23"/>
      <c r="H16" s="24"/>
    </row>
    <row r="17" spans="2:8" x14ac:dyDescent="0.25">
      <c r="B17" s="60">
        <f t="shared" si="0"/>
        <v>7</v>
      </c>
      <c r="C17" s="31" t="s">
        <v>34</v>
      </c>
      <c r="D17" s="32" t="s">
        <v>35</v>
      </c>
      <c r="E17" s="23" t="s">
        <v>1</v>
      </c>
      <c r="F17" s="24"/>
      <c r="G17" s="23"/>
      <c r="H17" s="24"/>
    </row>
    <row r="18" spans="2:8" ht="28" customHeight="1" x14ac:dyDescent="0.25">
      <c r="B18" s="60">
        <f t="shared" si="0"/>
        <v>8</v>
      </c>
      <c r="C18" s="31" t="s">
        <v>36</v>
      </c>
      <c r="D18" s="31" t="s">
        <v>37</v>
      </c>
      <c r="E18" s="23" t="s">
        <v>1</v>
      </c>
      <c r="F18" s="24"/>
      <c r="G18" s="23"/>
      <c r="H18" s="24"/>
    </row>
    <row r="19" spans="2:8" x14ac:dyDescent="0.25">
      <c r="B19" s="60">
        <f t="shared" si="0"/>
        <v>9</v>
      </c>
      <c r="C19" s="31" t="s">
        <v>38</v>
      </c>
      <c r="D19" s="26" t="s">
        <v>39</v>
      </c>
      <c r="E19" s="23" t="s">
        <v>1</v>
      </c>
      <c r="F19" s="24"/>
      <c r="G19" s="23"/>
      <c r="H19" s="24"/>
    </row>
    <row r="20" spans="2:8" ht="28" customHeight="1" x14ac:dyDescent="0.25">
      <c r="B20" s="60">
        <f t="shared" si="0"/>
        <v>10</v>
      </c>
      <c r="C20" s="31" t="s">
        <v>40</v>
      </c>
      <c r="D20" s="26" t="s">
        <v>41</v>
      </c>
      <c r="E20" s="23" t="s">
        <v>1</v>
      </c>
      <c r="F20" s="24"/>
      <c r="G20" s="23"/>
      <c r="H20" s="24"/>
    </row>
    <row r="21" spans="2:8" x14ac:dyDescent="0.25">
      <c r="B21" s="19" t="s">
        <v>19</v>
      </c>
      <c r="C21" s="20" t="s">
        <v>42</v>
      </c>
      <c r="D21" s="11" t="s">
        <v>21</v>
      </c>
      <c r="E21" s="27" t="s">
        <v>1</v>
      </c>
      <c r="F21" s="27"/>
      <c r="G21" s="27"/>
      <c r="H21" s="27"/>
    </row>
    <row r="22" spans="2:8" ht="28" customHeight="1" x14ac:dyDescent="0.25">
      <c r="B22" s="60">
        <v>11</v>
      </c>
      <c r="C22" s="31" t="s">
        <v>43</v>
      </c>
      <c r="D22" s="62" t="s">
        <v>44</v>
      </c>
      <c r="E22" s="23" t="s">
        <v>1</v>
      </c>
      <c r="F22" s="24"/>
      <c r="G22" s="23"/>
      <c r="H22" s="24"/>
    </row>
    <row r="23" spans="2:8" x14ac:dyDescent="0.25">
      <c r="B23" s="59">
        <f>B22+1</f>
        <v>12</v>
      </c>
      <c r="C23" s="35" t="s">
        <v>45</v>
      </c>
      <c r="D23" s="26" t="s">
        <v>46</v>
      </c>
      <c r="E23" s="23" t="s">
        <v>5</v>
      </c>
      <c r="F23" s="24"/>
      <c r="G23" s="23"/>
      <c r="H23" s="24"/>
    </row>
    <row r="24" spans="2:8" ht="28" customHeight="1" x14ac:dyDescent="0.25">
      <c r="B24" s="59">
        <f>B23+1</f>
        <v>13</v>
      </c>
      <c r="C24" s="63" t="s">
        <v>47</v>
      </c>
      <c r="D24" s="26" t="s">
        <v>48</v>
      </c>
      <c r="E24" s="23" t="s">
        <v>5</v>
      </c>
      <c r="F24" s="24"/>
      <c r="G24" s="23"/>
      <c r="H24" s="24"/>
    </row>
    <row r="25" spans="2:8" x14ac:dyDescent="0.25">
      <c r="B25" s="59">
        <f>B24+1</f>
        <v>14</v>
      </c>
      <c r="C25" s="35" t="s">
        <v>49</v>
      </c>
      <c r="D25" s="26" t="s">
        <v>50</v>
      </c>
      <c r="E25" s="23" t="s">
        <v>5</v>
      </c>
      <c r="F25" s="24"/>
      <c r="G25" s="23"/>
      <c r="H25" s="24"/>
    </row>
    <row r="26" spans="2:8" x14ac:dyDescent="0.25">
      <c r="B26" s="59">
        <f>B25+1</f>
        <v>15</v>
      </c>
      <c r="C26" s="35" t="s">
        <v>51</v>
      </c>
      <c r="D26" s="26" t="s">
        <v>52</v>
      </c>
      <c r="E26" s="23" t="s">
        <v>5</v>
      </c>
      <c r="F26" s="24"/>
      <c r="G26" s="23"/>
      <c r="H26" s="24"/>
    </row>
    <row r="27" spans="2:8" x14ac:dyDescent="0.25">
      <c r="B27" s="59">
        <f>B26+1</f>
        <v>16</v>
      </c>
      <c r="C27" s="35" t="s">
        <v>53</v>
      </c>
      <c r="D27" s="26" t="s">
        <v>52</v>
      </c>
      <c r="E27" s="23" t="s">
        <v>5</v>
      </c>
      <c r="F27" s="24"/>
      <c r="G27" s="23"/>
      <c r="H27" s="24"/>
    </row>
    <row r="28" spans="2:8" ht="15" customHeight="1" x14ac:dyDescent="0.25">
      <c r="B28" s="19" t="s">
        <v>19</v>
      </c>
      <c r="C28" s="20" t="s">
        <v>54</v>
      </c>
      <c r="D28" s="11"/>
      <c r="E28" s="27" t="s">
        <v>1</v>
      </c>
      <c r="F28" s="27"/>
      <c r="G28" s="27"/>
      <c r="H28" s="27"/>
    </row>
    <row r="29" spans="2:8" ht="15" customHeight="1" x14ac:dyDescent="0.25">
      <c r="B29" s="19" t="s">
        <v>55</v>
      </c>
      <c r="C29" s="28" t="s">
        <v>56</v>
      </c>
      <c r="D29" s="29"/>
      <c r="E29" s="27" t="s">
        <v>1</v>
      </c>
      <c r="F29" s="27"/>
      <c r="G29" s="27"/>
      <c r="H29" s="27"/>
    </row>
    <row r="30" spans="2:8" ht="40.5" customHeight="1" x14ac:dyDescent="0.25">
      <c r="B30" s="19">
        <v>17</v>
      </c>
      <c r="C30" s="30" t="s">
        <v>57</v>
      </c>
      <c r="D30" s="31" t="s">
        <v>58</v>
      </c>
      <c r="E30" s="23" t="s">
        <v>1</v>
      </c>
      <c r="F30" s="24"/>
      <c r="G30" s="23"/>
      <c r="H30" s="24"/>
    </row>
    <row r="31" spans="2:8" ht="28" customHeight="1" x14ac:dyDescent="0.25">
      <c r="B31" s="19">
        <f t="shared" ref="B31:B48" si="1">B30+1</f>
        <v>18</v>
      </c>
      <c r="C31" s="30" t="s">
        <v>59</v>
      </c>
      <c r="D31" s="31" t="s">
        <v>60</v>
      </c>
      <c r="E31" s="23" t="s">
        <v>1</v>
      </c>
      <c r="F31" s="72"/>
      <c r="G31" s="23"/>
      <c r="H31" s="24"/>
    </row>
    <row r="32" spans="2:8" ht="154.5" customHeight="1" thickBot="1" x14ac:dyDescent="0.3">
      <c r="B32" s="19">
        <f t="shared" si="1"/>
        <v>19</v>
      </c>
      <c r="C32" s="30" t="s">
        <v>61</v>
      </c>
      <c r="D32" s="31" t="s">
        <v>62</v>
      </c>
      <c r="E32" s="23" t="s">
        <v>1</v>
      </c>
      <c r="F32" s="24"/>
      <c r="G32" s="23"/>
      <c r="H32" s="24"/>
    </row>
    <row r="33" spans="2:8" ht="28.5" customHeight="1" thickBot="1" x14ac:dyDescent="0.3">
      <c r="B33" s="59">
        <f t="shared" si="1"/>
        <v>20</v>
      </c>
      <c r="C33" s="64" t="s">
        <v>63</v>
      </c>
      <c r="D33" s="65" t="s">
        <v>64</v>
      </c>
      <c r="E33" s="23" t="s">
        <v>5</v>
      </c>
      <c r="F33" s="24"/>
      <c r="G33" s="23"/>
      <c r="H33" s="24"/>
    </row>
    <row r="34" spans="2:8" ht="78.5" customHeight="1" thickBot="1" x14ac:dyDescent="0.3">
      <c r="B34" s="19">
        <f t="shared" si="1"/>
        <v>21</v>
      </c>
      <c r="C34" s="64" t="s">
        <v>65</v>
      </c>
      <c r="D34" s="65" t="s">
        <v>66</v>
      </c>
      <c r="E34" s="23" t="s">
        <v>1</v>
      </c>
      <c r="F34" s="24"/>
      <c r="G34" s="23"/>
      <c r="H34" s="24"/>
    </row>
    <row r="35" spans="2:8" ht="65.5" customHeight="1" thickBot="1" x14ac:dyDescent="0.3">
      <c r="B35" s="19">
        <f t="shared" si="1"/>
        <v>22</v>
      </c>
      <c r="C35" s="64" t="s">
        <v>67</v>
      </c>
      <c r="D35" s="65" t="s">
        <v>68</v>
      </c>
      <c r="E35" s="23" t="s">
        <v>2</v>
      </c>
      <c r="F35" s="24"/>
      <c r="G35" s="23"/>
      <c r="H35" s="24"/>
    </row>
    <row r="36" spans="2:8" ht="28.5" customHeight="1" thickBot="1" x14ac:dyDescent="0.3">
      <c r="B36" s="19">
        <f t="shared" si="1"/>
        <v>23</v>
      </c>
      <c r="C36" s="64" t="s">
        <v>69</v>
      </c>
      <c r="D36" s="65" t="s">
        <v>70</v>
      </c>
      <c r="E36" s="23" t="s">
        <v>1</v>
      </c>
      <c r="F36" s="24"/>
      <c r="G36" s="23"/>
      <c r="H36" s="24"/>
    </row>
    <row r="37" spans="2:8" ht="28.5" customHeight="1" thickBot="1" x14ac:dyDescent="0.3">
      <c r="B37" s="59">
        <f t="shared" si="1"/>
        <v>24</v>
      </c>
      <c r="C37" s="64" t="s">
        <v>71</v>
      </c>
      <c r="D37" s="65" t="s">
        <v>72</v>
      </c>
      <c r="E37" s="23" t="s">
        <v>5</v>
      </c>
      <c r="F37" s="24"/>
      <c r="G37" s="23"/>
      <c r="H37" s="24"/>
    </row>
    <row r="38" spans="2:8" ht="28.5" customHeight="1" thickBot="1" x14ac:dyDescent="0.3">
      <c r="B38" s="19">
        <f t="shared" si="1"/>
        <v>25</v>
      </c>
      <c r="C38" s="64" t="s">
        <v>73</v>
      </c>
      <c r="D38" s="65" t="s">
        <v>74</v>
      </c>
      <c r="E38" s="23" t="s">
        <v>2</v>
      </c>
      <c r="F38" s="24"/>
      <c r="G38" s="23"/>
      <c r="H38" s="24"/>
    </row>
    <row r="39" spans="2:8" ht="42.5" customHeight="1" thickBot="1" x14ac:dyDescent="0.3">
      <c r="B39" s="19">
        <f t="shared" si="1"/>
        <v>26</v>
      </c>
      <c r="C39" s="66" t="s">
        <v>75</v>
      </c>
      <c r="D39" s="65" t="s">
        <v>76</v>
      </c>
      <c r="E39" s="23" t="s">
        <v>2</v>
      </c>
      <c r="F39" s="24"/>
      <c r="G39" s="23"/>
      <c r="H39" s="24"/>
    </row>
    <row r="40" spans="2:8" ht="28.5" customHeight="1" thickBot="1" x14ac:dyDescent="0.3">
      <c r="B40" s="59">
        <f t="shared" si="1"/>
        <v>27</v>
      </c>
      <c r="C40" s="66" t="s">
        <v>77</v>
      </c>
      <c r="D40" s="65" t="s">
        <v>78</v>
      </c>
      <c r="E40" s="23" t="s">
        <v>5</v>
      </c>
      <c r="F40" s="24"/>
      <c r="G40" s="23"/>
      <c r="H40" s="24"/>
    </row>
    <row r="41" spans="2:8" ht="56" customHeight="1" x14ac:dyDescent="0.25">
      <c r="B41" s="19">
        <f t="shared" si="1"/>
        <v>28</v>
      </c>
      <c r="C41" s="30" t="s">
        <v>79</v>
      </c>
      <c r="D41" s="26"/>
      <c r="E41" s="23" t="s">
        <v>1</v>
      </c>
      <c r="F41" s="24"/>
      <c r="G41" s="23"/>
      <c r="H41" s="24"/>
    </row>
    <row r="42" spans="2:8" x14ac:dyDescent="0.25">
      <c r="B42" s="19">
        <f t="shared" si="1"/>
        <v>29</v>
      </c>
      <c r="C42" s="30" t="s">
        <v>80</v>
      </c>
      <c r="D42" s="31" t="s">
        <v>81</v>
      </c>
      <c r="E42" s="23" t="s">
        <v>1</v>
      </c>
      <c r="F42" s="24"/>
      <c r="G42" s="23"/>
      <c r="H42" s="24"/>
    </row>
    <row r="43" spans="2:8" ht="42" customHeight="1" x14ac:dyDescent="0.25">
      <c r="B43" s="19">
        <f t="shared" si="1"/>
        <v>30</v>
      </c>
      <c r="C43" s="67" t="s">
        <v>82</v>
      </c>
      <c r="D43" s="32" t="s">
        <v>83</v>
      </c>
      <c r="E43" s="23" t="s">
        <v>2</v>
      </c>
      <c r="F43" s="24"/>
      <c r="G43" s="23"/>
      <c r="H43" s="24"/>
    </row>
    <row r="44" spans="2:8" ht="15" customHeight="1" x14ac:dyDescent="0.25">
      <c r="B44" s="59">
        <f t="shared" si="1"/>
        <v>31</v>
      </c>
      <c r="C44" s="67" t="s">
        <v>84</v>
      </c>
      <c r="D44" s="26" t="s">
        <v>85</v>
      </c>
      <c r="E44" s="23" t="s">
        <v>5</v>
      </c>
      <c r="F44" s="24"/>
      <c r="G44" s="23"/>
      <c r="H44" s="24"/>
    </row>
    <row r="45" spans="2:8" ht="15" customHeight="1" x14ac:dyDescent="0.25">
      <c r="B45" s="59">
        <f t="shared" si="1"/>
        <v>32</v>
      </c>
      <c r="C45" s="67" t="s">
        <v>86</v>
      </c>
      <c r="D45" s="26" t="s">
        <v>87</v>
      </c>
      <c r="E45" s="23" t="s">
        <v>5</v>
      </c>
      <c r="F45" s="24"/>
      <c r="G45" s="23"/>
      <c r="H45" s="24"/>
    </row>
    <row r="46" spans="2:8" ht="28" customHeight="1" x14ac:dyDescent="0.25">
      <c r="B46" s="19">
        <f t="shared" si="1"/>
        <v>33</v>
      </c>
      <c r="C46" s="67" t="s">
        <v>88</v>
      </c>
      <c r="D46" s="26" t="s">
        <v>89</v>
      </c>
      <c r="E46" s="23" t="s">
        <v>1</v>
      </c>
      <c r="F46" s="24"/>
      <c r="G46" s="23"/>
      <c r="H46" s="24"/>
    </row>
    <row r="47" spans="2:8" ht="42" customHeight="1" x14ac:dyDescent="0.25">
      <c r="B47" s="19">
        <f t="shared" si="1"/>
        <v>34</v>
      </c>
      <c r="C47" s="30" t="s">
        <v>90</v>
      </c>
      <c r="D47" s="26"/>
      <c r="E47" s="23" t="s">
        <v>1</v>
      </c>
      <c r="F47" s="24"/>
      <c r="G47" s="23"/>
      <c r="H47" s="24"/>
    </row>
    <row r="48" spans="2:8" ht="28" customHeight="1" x14ac:dyDescent="0.25">
      <c r="B48" s="19">
        <f t="shared" si="1"/>
        <v>35</v>
      </c>
      <c r="C48" s="30" t="s">
        <v>91</v>
      </c>
      <c r="D48" s="26" t="s">
        <v>92</v>
      </c>
      <c r="E48" s="23" t="s">
        <v>1</v>
      </c>
      <c r="F48" s="24"/>
      <c r="G48" s="23"/>
      <c r="H48" s="24"/>
    </row>
    <row r="49" spans="2:8" ht="15" customHeight="1" x14ac:dyDescent="0.25">
      <c r="B49" s="19" t="s">
        <v>55</v>
      </c>
      <c r="C49" s="33" t="s">
        <v>93</v>
      </c>
      <c r="D49" s="29"/>
      <c r="E49" s="27" t="s">
        <v>1</v>
      </c>
      <c r="F49" s="27"/>
      <c r="G49" s="27"/>
      <c r="H49" s="27"/>
    </row>
    <row r="50" spans="2:8" ht="42" customHeight="1" x14ac:dyDescent="0.25">
      <c r="B50" s="19">
        <f>B48+1</f>
        <v>36</v>
      </c>
      <c r="C50" s="30" t="s">
        <v>94</v>
      </c>
      <c r="D50" s="26" t="s">
        <v>95</v>
      </c>
      <c r="E50" s="23" t="s">
        <v>1</v>
      </c>
      <c r="F50" s="24"/>
      <c r="G50" s="23"/>
      <c r="H50" s="24"/>
    </row>
    <row r="51" spans="2:8" ht="28" customHeight="1" x14ac:dyDescent="0.25">
      <c r="B51" s="60">
        <f t="shared" ref="B51:B57" si="2">B50+1</f>
        <v>37</v>
      </c>
      <c r="C51" s="30" t="s">
        <v>96</v>
      </c>
      <c r="D51" s="26" t="s">
        <v>97</v>
      </c>
      <c r="E51" s="23" t="s">
        <v>1</v>
      </c>
      <c r="F51" s="24"/>
      <c r="G51" s="23"/>
      <c r="H51" s="24"/>
    </row>
    <row r="52" spans="2:8" ht="28" customHeight="1" x14ac:dyDescent="0.25">
      <c r="B52" s="59">
        <f t="shared" si="2"/>
        <v>38</v>
      </c>
      <c r="C52" s="35" t="s">
        <v>98</v>
      </c>
      <c r="D52" s="26" t="s">
        <v>99</v>
      </c>
      <c r="E52" s="23" t="s">
        <v>5</v>
      </c>
      <c r="F52" s="24"/>
      <c r="G52" s="23"/>
      <c r="H52" s="24"/>
    </row>
    <row r="53" spans="2:8" ht="28" customHeight="1" x14ac:dyDescent="0.25">
      <c r="B53" s="60">
        <f t="shared" si="2"/>
        <v>39</v>
      </c>
      <c r="C53" s="35" t="s">
        <v>100</v>
      </c>
      <c r="D53" s="26" t="s">
        <v>101</v>
      </c>
      <c r="E53" s="23" t="s">
        <v>1</v>
      </c>
      <c r="F53" s="34"/>
      <c r="G53" s="23"/>
      <c r="H53" s="24"/>
    </row>
    <row r="54" spans="2:8" ht="28" customHeight="1" x14ac:dyDescent="0.25">
      <c r="B54" s="60">
        <f t="shared" si="2"/>
        <v>40</v>
      </c>
      <c r="C54" s="68" t="s">
        <v>102</v>
      </c>
      <c r="D54" s="26" t="s">
        <v>103</v>
      </c>
      <c r="E54" s="23" t="s">
        <v>1</v>
      </c>
      <c r="F54" s="24"/>
      <c r="G54" s="23"/>
      <c r="H54" s="24"/>
    </row>
    <row r="55" spans="2:8" ht="42" customHeight="1" x14ac:dyDescent="0.25">
      <c r="B55" s="59">
        <f t="shared" si="2"/>
        <v>41</v>
      </c>
      <c r="C55" s="63" t="s">
        <v>104</v>
      </c>
      <c r="D55" s="26" t="s">
        <v>105</v>
      </c>
      <c r="E55" s="23" t="s">
        <v>5</v>
      </c>
      <c r="F55" s="24"/>
      <c r="G55" s="23"/>
      <c r="H55" s="24"/>
    </row>
    <row r="56" spans="2:8" ht="28" customHeight="1" x14ac:dyDescent="0.25">
      <c r="B56" s="59">
        <f t="shared" si="2"/>
        <v>42</v>
      </c>
      <c r="C56" s="35" t="s">
        <v>106</v>
      </c>
      <c r="D56" s="26" t="s">
        <v>107</v>
      </c>
      <c r="E56" s="23" t="s">
        <v>5</v>
      </c>
      <c r="F56" s="24"/>
      <c r="G56" s="23"/>
      <c r="H56" s="24"/>
    </row>
    <row r="57" spans="2:8" ht="70" customHeight="1" x14ac:dyDescent="0.25">
      <c r="B57" s="60">
        <f t="shared" si="2"/>
        <v>43</v>
      </c>
      <c r="C57" s="69" t="s">
        <v>108</v>
      </c>
      <c r="D57" s="26" t="s">
        <v>109</v>
      </c>
      <c r="E57" s="23" t="s">
        <v>1</v>
      </c>
      <c r="F57" s="24"/>
      <c r="G57" s="23"/>
      <c r="H57" s="24"/>
    </row>
    <row r="58" spans="2:8" ht="15" customHeight="1" x14ac:dyDescent="0.25">
      <c r="B58" s="19" t="s">
        <v>55</v>
      </c>
      <c r="C58" s="33" t="s">
        <v>110</v>
      </c>
      <c r="D58" s="29"/>
      <c r="E58" s="27" t="s">
        <v>1</v>
      </c>
      <c r="F58" s="27"/>
      <c r="G58" s="27"/>
      <c r="H58" s="27"/>
    </row>
    <row r="59" spans="2:8" ht="28" customHeight="1" x14ac:dyDescent="0.25">
      <c r="B59" s="19">
        <f>B57+1</f>
        <v>44</v>
      </c>
      <c r="C59" s="35" t="s">
        <v>111</v>
      </c>
      <c r="D59" s="26" t="s">
        <v>112</v>
      </c>
      <c r="E59" s="23" t="s">
        <v>1</v>
      </c>
      <c r="F59" s="24"/>
      <c r="G59" s="23"/>
      <c r="H59" s="24"/>
    </row>
    <row r="60" spans="2:8" ht="29" customHeight="1" x14ac:dyDescent="0.25">
      <c r="B60" s="60">
        <f>B59+1</f>
        <v>45</v>
      </c>
      <c r="C60" s="63" t="s">
        <v>113</v>
      </c>
      <c r="D60" s="26" t="s">
        <v>114</v>
      </c>
      <c r="E60" s="23" t="s">
        <v>1</v>
      </c>
      <c r="F60" s="24"/>
      <c r="G60" s="23"/>
      <c r="H60" s="24"/>
    </row>
    <row r="61" spans="2:8" ht="42" customHeight="1" x14ac:dyDescent="0.25">
      <c r="B61" s="19">
        <f>B60+1</f>
        <v>46</v>
      </c>
      <c r="C61" s="35" t="s">
        <v>115</v>
      </c>
      <c r="D61" s="26" t="s">
        <v>116</v>
      </c>
      <c r="E61" s="23" t="s">
        <v>1</v>
      </c>
      <c r="F61" s="24"/>
      <c r="G61" s="23"/>
      <c r="H61" s="24"/>
    </row>
    <row r="62" spans="2:8" ht="31.5" customHeight="1" x14ac:dyDescent="0.25">
      <c r="B62" s="19">
        <f>B61+1</f>
        <v>47</v>
      </c>
      <c r="C62" s="63" t="s">
        <v>117</v>
      </c>
      <c r="D62" s="26" t="s">
        <v>118</v>
      </c>
      <c r="E62" s="23" t="s">
        <v>1</v>
      </c>
      <c r="F62" s="24"/>
      <c r="G62" s="23"/>
      <c r="H62" s="24"/>
    </row>
    <row r="63" spans="2:8" x14ac:dyDescent="0.25">
      <c r="B63" s="19" t="s">
        <v>19</v>
      </c>
      <c r="C63" s="20" t="s">
        <v>119</v>
      </c>
      <c r="D63" s="11" t="s">
        <v>21</v>
      </c>
      <c r="E63" s="27" t="s">
        <v>1</v>
      </c>
      <c r="F63" s="27"/>
      <c r="G63" s="27"/>
      <c r="H63" s="27"/>
    </row>
    <row r="64" spans="2:8" ht="98" customHeight="1" x14ac:dyDescent="0.25">
      <c r="B64" s="60">
        <f>B62+1</f>
        <v>48</v>
      </c>
      <c r="C64" s="35" t="s">
        <v>120</v>
      </c>
      <c r="D64" s="36" t="s">
        <v>121</v>
      </c>
      <c r="E64" s="23" t="s">
        <v>1</v>
      </c>
      <c r="F64" s="24"/>
      <c r="G64" s="23"/>
      <c r="H64" s="24"/>
    </row>
    <row r="65" spans="2:8" x14ac:dyDescent="0.25">
      <c r="B65" s="59">
        <f t="shared" ref="B65:B81" si="3">B64+1</f>
        <v>49</v>
      </c>
      <c r="C65" s="30" t="s">
        <v>122</v>
      </c>
      <c r="D65" s="37" t="s">
        <v>123</v>
      </c>
      <c r="E65" s="23" t="s">
        <v>5</v>
      </c>
      <c r="F65" s="24"/>
      <c r="G65" s="23"/>
      <c r="H65" s="24"/>
    </row>
    <row r="66" spans="2:8" ht="28" customHeight="1" x14ac:dyDescent="0.25">
      <c r="B66" s="19">
        <f t="shared" si="3"/>
        <v>50</v>
      </c>
      <c r="C66" s="30" t="s">
        <v>124</v>
      </c>
      <c r="D66" s="37" t="s">
        <v>123</v>
      </c>
      <c r="E66" s="23" t="s">
        <v>1</v>
      </c>
      <c r="F66" s="24"/>
      <c r="G66" s="23"/>
      <c r="H66" s="24"/>
    </row>
    <row r="67" spans="2:8" ht="56" customHeight="1" x14ac:dyDescent="0.25">
      <c r="B67" s="19">
        <f t="shared" si="3"/>
        <v>51</v>
      </c>
      <c r="C67" s="57" t="s">
        <v>125</v>
      </c>
      <c r="D67" s="26" t="s">
        <v>126</v>
      </c>
      <c r="E67" s="23" t="s">
        <v>1</v>
      </c>
      <c r="F67" s="24"/>
      <c r="G67" s="23"/>
      <c r="H67" s="24"/>
    </row>
    <row r="68" spans="2:8" x14ac:dyDescent="0.25">
      <c r="B68" s="19">
        <f t="shared" si="3"/>
        <v>52</v>
      </c>
      <c r="C68" s="70" t="s">
        <v>127</v>
      </c>
      <c r="D68" s="26" t="s">
        <v>128</v>
      </c>
      <c r="E68" s="23" t="s">
        <v>1</v>
      </c>
      <c r="F68" s="24"/>
      <c r="G68" s="23"/>
      <c r="H68" s="24"/>
    </row>
    <row r="69" spans="2:8" x14ac:dyDescent="0.25">
      <c r="B69" s="19">
        <f t="shared" si="3"/>
        <v>53</v>
      </c>
      <c r="C69" s="70" t="s">
        <v>129</v>
      </c>
      <c r="D69" s="26" t="s">
        <v>128</v>
      </c>
      <c r="E69" s="23" t="s">
        <v>1</v>
      </c>
      <c r="F69" s="24"/>
      <c r="G69" s="23"/>
      <c r="H69" s="24"/>
    </row>
    <row r="70" spans="2:8" ht="28" customHeight="1" x14ac:dyDescent="0.25">
      <c r="B70" s="19">
        <f t="shared" si="3"/>
        <v>54</v>
      </c>
      <c r="C70" s="70" t="s">
        <v>130</v>
      </c>
      <c r="D70" s="26" t="s">
        <v>131</v>
      </c>
      <c r="E70" s="23" t="s">
        <v>2</v>
      </c>
      <c r="F70" s="24"/>
      <c r="G70" s="23"/>
      <c r="H70" s="24"/>
    </row>
    <row r="71" spans="2:8" ht="28" customHeight="1" x14ac:dyDescent="0.25">
      <c r="B71" s="19">
        <f t="shared" si="3"/>
        <v>55</v>
      </c>
      <c r="C71" s="70" t="s">
        <v>132</v>
      </c>
      <c r="D71" s="26" t="s">
        <v>133</v>
      </c>
      <c r="E71" s="23" t="s">
        <v>2</v>
      </c>
      <c r="F71" s="24"/>
      <c r="G71" s="23"/>
      <c r="H71" s="24"/>
    </row>
    <row r="72" spans="2:8" ht="56" customHeight="1" x14ac:dyDescent="0.25">
      <c r="B72" s="59">
        <f t="shared" si="3"/>
        <v>56</v>
      </c>
      <c r="C72" s="57" t="s">
        <v>134</v>
      </c>
      <c r="D72" s="26" t="s">
        <v>126</v>
      </c>
      <c r="E72" s="23" t="s">
        <v>1</v>
      </c>
      <c r="F72" s="24"/>
      <c r="G72" s="23"/>
      <c r="H72" s="24"/>
    </row>
    <row r="73" spans="2:8" x14ac:dyDescent="0.25">
      <c r="B73" s="59">
        <f t="shared" si="3"/>
        <v>57</v>
      </c>
      <c r="C73" s="70" t="s">
        <v>127</v>
      </c>
      <c r="D73" s="26" t="s">
        <v>128</v>
      </c>
      <c r="E73" s="23" t="s">
        <v>1</v>
      </c>
      <c r="F73" s="24"/>
      <c r="G73" s="23"/>
      <c r="H73" s="24"/>
    </row>
    <row r="74" spans="2:8" x14ac:dyDescent="0.25">
      <c r="B74" s="59">
        <f t="shared" si="3"/>
        <v>58</v>
      </c>
      <c r="C74" s="70" t="s">
        <v>129</v>
      </c>
      <c r="D74" s="26" t="s">
        <v>128</v>
      </c>
      <c r="E74" s="23" t="s">
        <v>1</v>
      </c>
      <c r="F74" s="24"/>
      <c r="G74" s="23"/>
      <c r="H74" s="24"/>
    </row>
    <row r="75" spans="2:8" ht="28" customHeight="1" x14ac:dyDescent="0.25">
      <c r="B75" s="59">
        <f t="shared" si="3"/>
        <v>59</v>
      </c>
      <c r="C75" s="70" t="s">
        <v>130</v>
      </c>
      <c r="D75" s="26" t="s">
        <v>131</v>
      </c>
      <c r="E75" s="23" t="s">
        <v>2</v>
      </c>
      <c r="F75" s="24"/>
      <c r="G75" s="23"/>
      <c r="H75" s="24"/>
    </row>
    <row r="76" spans="2:8" ht="28" customHeight="1" x14ac:dyDescent="0.25">
      <c r="B76" s="59">
        <f t="shared" si="3"/>
        <v>60</v>
      </c>
      <c r="C76" s="70" t="s">
        <v>132</v>
      </c>
      <c r="D76" s="26" t="s">
        <v>133</v>
      </c>
      <c r="E76" s="23" t="s">
        <v>2</v>
      </c>
      <c r="F76" s="24"/>
      <c r="G76" s="23"/>
      <c r="H76" s="24"/>
    </row>
    <row r="77" spans="2:8" ht="28" customHeight="1" x14ac:dyDescent="0.25">
      <c r="B77" s="59">
        <f t="shared" si="3"/>
        <v>61</v>
      </c>
      <c r="C77" s="57" t="s">
        <v>135</v>
      </c>
      <c r="D77" s="26" t="s">
        <v>136</v>
      </c>
      <c r="E77" s="23" t="s">
        <v>1</v>
      </c>
      <c r="F77" s="24"/>
      <c r="G77" s="23"/>
      <c r="H77" s="24"/>
    </row>
    <row r="78" spans="2:8" x14ac:dyDescent="0.25">
      <c r="B78" s="59">
        <f t="shared" si="3"/>
        <v>62</v>
      </c>
      <c r="C78" s="70" t="s">
        <v>127</v>
      </c>
      <c r="D78" s="26" t="s">
        <v>128</v>
      </c>
      <c r="E78" s="23" t="s">
        <v>1</v>
      </c>
      <c r="F78" s="24"/>
      <c r="G78" s="23"/>
      <c r="H78" s="24"/>
    </row>
    <row r="79" spans="2:8" x14ac:dyDescent="0.25">
      <c r="B79" s="59">
        <f t="shared" si="3"/>
        <v>63</v>
      </c>
      <c r="C79" s="70" t="s">
        <v>129</v>
      </c>
      <c r="D79" s="26" t="s">
        <v>128</v>
      </c>
      <c r="E79" s="23" t="s">
        <v>1</v>
      </c>
      <c r="F79" s="24"/>
      <c r="G79" s="23"/>
      <c r="H79" s="24"/>
    </row>
    <row r="80" spans="2:8" ht="28" customHeight="1" x14ac:dyDescent="0.25">
      <c r="B80" s="59">
        <f t="shared" si="3"/>
        <v>64</v>
      </c>
      <c r="C80" s="70" t="s">
        <v>130</v>
      </c>
      <c r="D80" s="26" t="s">
        <v>131</v>
      </c>
      <c r="E80" s="23" t="s">
        <v>2</v>
      </c>
      <c r="F80" s="24"/>
      <c r="G80" s="23"/>
      <c r="H80" s="24"/>
    </row>
    <row r="81" spans="2:29" ht="28" customHeight="1" x14ac:dyDescent="0.25">
      <c r="B81" s="59">
        <f t="shared" si="3"/>
        <v>65</v>
      </c>
      <c r="C81" s="70" t="s">
        <v>132</v>
      </c>
      <c r="D81" s="26" t="s">
        <v>133</v>
      </c>
      <c r="E81" s="23" t="s">
        <v>2</v>
      </c>
      <c r="F81" s="24"/>
      <c r="G81" s="23"/>
      <c r="H81" s="24"/>
    </row>
    <row r="82" spans="2:29" x14ac:dyDescent="0.25">
      <c r="B82" s="19" t="s">
        <v>19</v>
      </c>
      <c r="C82" s="58" t="s">
        <v>137</v>
      </c>
      <c r="D82" s="11" t="s">
        <v>21</v>
      </c>
      <c r="E82" s="27" t="s">
        <v>1</v>
      </c>
      <c r="F82" s="27"/>
      <c r="G82" s="27"/>
      <c r="H82" s="27"/>
    </row>
    <row r="83" spans="2:29" ht="42" customHeight="1" x14ac:dyDescent="0.25">
      <c r="B83" s="60">
        <f>B81+1</f>
        <v>66</v>
      </c>
      <c r="C83" s="71" t="s">
        <v>138</v>
      </c>
      <c r="D83" s="31" t="s">
        <v>139</v>
      </c>
      <c r="E83" s="23" t="s">
        <v>1</v>
      </c>
      <c r="F83" s="24"/>
      <c r="G83" s="23"/>
      <c r="H83" s="24"/>
    </row>
    <row r="84" spans="2:29" ht="28" customHeight="1" x14ac:dyDescent="0.25">
      <c r="B84" s="60">
        <f t="shared" ref="B84:B119" si="4">B83+1</f>
        <v>67</v>
      </c>
      <c r="C84" s="30" t="s">
        <v>140</v>
      </c>
      <c r="D84" s="38" t="s">
        <v>141</v>
      </c>
      <c r="E84" s="23" t="s">
        <v>1</v>
      </c>
      <c r="F84" s="24"/>
      <c r="G84" s="23"/>
      <c r="H84" s="24"/>
    </row>
    <row r="85" spans="2:29" x14ac:dyDescent="0.25">
      <c r="B85" s="60">
        <f t="shared" si="4"/>
        <v>68</v>
      </c>
      <c r="C85" s="70" t="s">
        <v>142</v>
      </c>
      <c r="D85" s="31" t="s">
        <v>128</v>
      </c>
      <c r="E85" s="23" t="s">
        <v>2</v>
      </c>
      <c r="F85" s="24"/>
      <c r="G85" s="23"/>
      <c r="H85" s="24"/>
    </row>
    <row r="86" spans="2:29" x14ac:dyDescent="0.25">
      <c r="B86" s="60">
        <f t="shared" si="4"/>
        <v>69</v>
      </c>
      <c r="C86" s="70" t="s">
        <v>143</v>
      </c>
      <c r="D86" s="31" t="s">
        <v>128</v>
      </c>
      <c r="E86" s="23" t="s">
        <v>2</v>
      </c>
      <c r="F86" s="24"/>
      <c r="G86" s="23"/>
      <c r="H86" s="24"/>
    </row>
    <row r="87" spans="2:29" x14ac:dyDescent="0.25">
      <c r="B87" s="60">
        <f t="shared" si="4"/>
        <v>70</v>
      </c>
      <c r="C87" s="70" t="s">
        <v>144</v>
      </c>
      <c r="D87" s="31" t="s">
        <v>103</v>
      </c>
      <c r="E87" s="23" t="s">
        <v>2</v>
      </c>
      <c r="F87" s="24"/>
      <c r="G87" s="23"/>
      <c r="H87" s="24"/>
    </row>
    <row r="88" spans="2:29" x14ac:dyDescent="0.25">
      <c r="B88" s="60">
        <f t="shared" si="4"/>
        <v>71</v>
      </c>
      <c r="C88" s="70" t="s">
        <v>145</v>
      </c>
      <c r="D88" s="31" t="s">
        <v>146</v>
      </c>
      <c r="E88" s="23" t="s">
        <v>2</v>
      </c>
      <c r="F88" s="24"/>
      <c r="G88" s="23"/>
      <c r="H88" s="24"/>
    </row>
    <row r="89" spans="2:29" ht="28" customHeight="1" x14ac:dyDescent="0.25">
      <c r="B89" s="60">
        <f t="shared" si="4"/>
        <v>72</v>
      </c>
      <c r="C89" s="70" t="s">
        <v>147</v>
      </c>
      <c r="D89" s="31"/>
      <c r="E89" s="23" t="s">
        <v>2</v>
      </c>
      <c r="F89" s="24"/>
      <c r="G89" s="23"/>
      <c r="H89" s="24"/>
      <c r="I89" s="39"/>
      <c r="J89" s="39"/>
      <c r="K89" s="39"/>
      <c r="L89" s="39"/>
      <c r="M89" s="39"/>
      <c r="N89" s="39"/>
      <c r="O89" s="39"/>
      <c r="P89" s="39"/>
      <c r="Q89" s="39"/>
      <c r="R89" s="39"/>
      <c r="S89" s="39"/>
      <c r="T89" s="39"/>
      <c r="U89" s="39"/>
      <c r="V89" s="39"/>
      <c r="W89" s="39"/>
      <c r="X89" s="39"/>
      <c r="Y89" s="39"/>
      <c r="Z89" s="39"/>
      <c r="AA89" s="39"/>
      <c r="AB89" s="39"/>
      <c r="AC89" s="39"/>
    </row>
    <row r="90" spans="2:29" ht="28" customHeight="1" x14ac:dyDescent="0.25">
      <c r="B90" s="59">
        <f t="shared" si="4"/>
        <v>73</v>
      </c>
      <c r="C90" s="30" t="s">
        <v>148</v>
      </c>
      <c r="D90" s="38" t="s">
        <v>149</v>
      </c>
      <c r="E90" s="23" t="s">
        <v>5</v>
      </c>
      <c r="F90" s="24"/>
      <c r="G90" s="23"/>
      <c r="H90" s="24"/>
    </row>
    <row r="91" spans="2:29" x14ac:dyDescent="0.25">
      <c r="B91" s="59">
        <f t="shared" si="4"/>
        <v>74</v>
      </c>
      <c r="C91" s="70" t="s">
        <v>142</v>
      </c>
      <c r="D91" s="26" t="s">
        <v>128</v>
      </c>
      <c r="E91" s="23" t="s">
        <v>2</v>
      </c>
      <c r="F91" s="24"/>
      <c r="G91" s="23"/>
      <c r="H91" s="24"/>
    </row>
    <row r="92" spans="2:29" x14ac:dyDescent="0.25">
      <c r="B92" s="59">
        <f t="shared" si="4"/>
        <v>75</v>
      </c>
      <c r="C92" s="70" t="s">
        <v>143</v>
      </c>
      <c r="D92" s="26" t="s">
        <v>128</v>
      </c>
      <c r="E92" s="23" t="s">
        <v>2</v>
      </c>
      <c r="F92" s="24"/>
      <c r="G92" s="23"/>
      <c r="H92" s="24"/>
    </row>
    <row r="93" spans="2:29" x14ac:dyDescent="0.25">
      <c r="B93" s="59">
        <f t="shared" si="4"/>
        <v>76</v>
      </c>
      <c r="C93" s="70" t="s">
        <v>144</v>
      </c>
      <c r="D93" s="26" t="s">
        <v>103</v>
      </c>
      <c r="E93" s="23" t="s">
        <v>2</v>
      </c>
      <c r="F93" s="24"/>
      <c r="G93" s="23"/>
      <c r="H93" s="24"/>
    </row>
    <row r="94" spans="2:29" x14ac:dyDescent="0.25">
      <c r="B94" s="59">
        <f t="shared" si="4"/>
        <v>77</v>
      </c>
      <c r="C94" s="70" t="s">
        <v>145</v>
      </c>
      <c r="D94" s="26" t="s">
        <v>146</v>
      </c>
      <c r="E94" s="23" t="s">
        <v>2</v>
      </c>
      <c r="F94" s="24"/>
      <c r="G94" s="23"/>
      <c r="H94" s="24"/>
    </row>
    <row r="95" spans="2:29" ht="28" customHeight="1" x14ac:dyDescent="0.25">
      <c r="B95" s="59">
        <f t="shared" si="4"/>
        <v>78</v>
      </c>
      <c r="C95" s="70" t="s">
        <v>147</v>
      </c>
      <c r="D95" s="26"/>
      <c r="E95" s="23" t="s">
        <v>2</v>
      </c>
      <c r="F95" s="24"/>
      <c r="G95" s="23"/>
      <c r="H95" s="24"/>
      <c r="I95" s="39"/>
      <c r="J95" s="39"/>
      <c r="K95" s="39"/>
      <c r="L95" s="39"/>
      <c r="M95" s="39"/>
      <c r="N95" s="39"/>
      <c r="O95" s="39"/>
      <c r="P95" s="39"/>
      <c r="Q95" s="39"/>
      <c r="R95" s="39"/>
      <c r="S95" s="39"/>
      <c r="T95" s="39"/>
      <c r="U95" s="39"/>
      <c r="V95" s="39"/>
      <c r="W95" s="39"/>
      <c r="X95" s="39"/>
      <c r="Y95" s="39"/>
      <c r="Z95" s="39"/>
      <c r="AA95" s="39"/>
      <c r="AB95" s="39"/>
      <c r="AC95" s="39"/>
    </row>
    <row r="96" spans="2:29" ht="28" customHeight="1" x14ac:dyDescent="0.25">
      <c r="B96" s="59">
        <f t="shared" si="4"/>
        <v>79</v>
      </c>
      <c r="C96" s="30" t="s">
        <v>150</v>
      </c>
      <c r="D96" s="38" t="s">
        <v>151</v>
      </c>
      <c r="E96" s="23" t="s">
        <v>5</v>
      </c>
      <c r="F96" s="24"/>
      <c r="G96" s="23"/>
      <c r="H96" s="24"/>
    </row>
    <row r="97" spans="2:29" x14ac:dyDescent="0.25">
      <c r="B97" s="59">
        <f t="shared" si="4"/>
        <v>80</v>
      </c>
      <c r="C97" s="70" t="s">
        <v>142</v>
      </c>
      <c r="D97" s="31" t="s">
        <v>128</v>
      </c>
      <c r="E97" s="23" t="s">
        <v>2</v>
      </c>
      <c r="F97" s="24"/>
      <c r="G97" s="23"/>
      <c r="H97" s="24"/>
    </row>
    <row r="98" spans="2:29" x14ac:dyDescent="0.25">
      <c r="B98" s="59">
        <f t="shared" si="4"/>
        <v>81</v>
      </c>
      <c r="C98" s="70" t="s">
        <v>143</v>
      </c>
      <c r="D98" s="31" t="s">
        <v>128</v>
      </c>
      <c r="E98" s="23" t="s">
        <v>2</v>
      </c>
      <c r="F98" s="24"/>
      <c r="G98" s="23"/>
      <c r="H98" s="24"/>
    </row>
    <row r="99" spans="2:29" x14ac:dyDescent="0.25">
      <c r="B99" s="59">
        <f t="shared" si="4"/>
        <v>82</v>
      </c>
      <c r="C99" s="70" t="s">
        <v>144</v>
      </c>
      <c r="D99" s="31" t="s">
        <v>103</v>
      </c>
      <c r="E99" s="23" t="s">
        <v>2</v>
      </c>
      <c r="F99" s="24"/>
      <c r="G99" s="23"/>
      <c r="H99" s="24"/>
    </row>
    <row r="100" spans="2:29" x14ac:dyDescent="0.25">
      <c r="B100" s="59">
        <f t="shared" si="4"/>
        <v>83</v>
      </c>
      <c r="C100" s="70" t="s">
        <v>145</v>
      </c>
      <c r="D100" s="31" t="s">
        <v>146</v>
      </c>
      <c r="E100" s="23" t="s">
        <v>2</v>
      </c>
      <c r="F100" s="24"/>
      <c r="G100" s="23"/>
      <c r="H100" s="24"/>
    </row>
    <row r="101" spans="2:29" ht="28" customHeight="1" x14ac:dyDescent="0.25">
      <c r="B101" s="59">
        <f t="shared" si="4"/>
        <v>84</v>
      </c>
      <c r="C101" s="70" t="s">
        <v>147</v>
      </c>
      <c r="D101" s="31"/>
      <c r="E101" s="23" t="s">
        <v>2</v>
      </c>
      <c r="F101" s="24"/>
      <c r="G101" s="23"/>
      <c r="H101" s="24"/>
      <c r="I101" s="39"/>
      <c r="J101" s="39"/>
      <c r="K101" s="39"/>
      <c r="L101" s="39"/>
      <c r="M101" s="39"/>
      <c r="N101" s="39"/>
      <c r="O101" s="39"/>
      <c r="P101" s="39"/>
      <c r="Q101" s="39"/>
      <c r="R101" s="39"/>
      <c r="S101" s="39"/>
      <c r="T101" s="39"/>
      <c r="U101" s="39"/>
      <c r="V101" s="39"/>
      <c r="W101" s="39"/>
      <c r="X101" s="39"/>
      <c r="Y101" s="39"/>
      <c r="Z101" s="39"/>
      <c r="AA101" s="39"/>
      <c r="AB101" s="39"/>
      <c r="AC101" s="39"/>
    </row>
    <row r="102" spans="2:29" x14ac:dyDescent="0.25">
      <c r="B102" s="59">
        <f t="shared" si="4"/>
        <v>85</v>
      </c>
      <c r="C102" s="30" t="s">
        <v>152</v>
      </c>
      <c r="D102" s="38" t="s">
        <v>153</v>
      </c>
      <c r="E102" s="23" t="s">
        <v>5</v>
      </c>
      <c r="F102" s="24"/>
      <c r="G102" s="23"/>
      <c r="H102" s="24"/>
    </row>
    <row r="103" spans="2:29" x14ac:dyDescent="0.25">
      <c r="B103" s="59">
        <f t="shared" si="4"/>
        <v>86</v>
      </c>
      <c r="C103" s="70" t="s">
        <v>142</v>
      </c>
      <c r="D103" s="26" t="s">
        <v>128</v>
      </c>
      <c r="E103" s="23" t="s">
        <v>2</v>
      </c>
      <c r="F103" s="24"/>
      <c r="G103" s="23"/>
      <c r="H103" s="24"/>
    </row>
    <row r="104" spans="2:29" x14ac:dyDescent="0.25">
      <c r="B104" s="59">
        <f t="shared" si="4"/>
        <v>87</v>
      </c>
      <c r="C104" s="70" t="s">
        <v>143</v>
      </c>
      <c r="D104" s="26" t="s">
        <v>128</v>
      </c>
      <c r="E104" s="23" t="s">
        <v>2</v>
      </c>
      <c r="F104" s="24"/>
      <c r="G104" s="23"/>
      <c r="H104" s="24"/>
    </row>
    <row r="105" spans="2:29" x14ac:dyDescent="0.25">
      <c r="B105" s="59">
        <f t="shared" si="4"/>
        <v>88</v>
      </c>
      <c r="C105" s="70" t="s">
        <v>144</v>
      </c>
      <c r="D105" s="26" t="s">
        <v>103</v>
      </c>
      <c r="E105" s="23" t="s">
        <v>2</v>
      </c>
      <c r="F105" s="24"/>
      <c r="G105" s="23"/>
      <c r="H105" s="24"/>
    </row>
    <row r="106" spans="2:29" x14ac:dyDescent="0.25">
      <c r="B106" s="59">
        <f t="shared" si="4"/>
        <v>89</v>
      </c>
      <c r="C106" s="70" t="s">
        <v>145</v>
      </c>
      <c r="D106" s="26" t="s">
        <v>146</v>
      </c>
      <c r="E106" s="23" t="s">
        <v>2</v>
      </c>
      <c r="F106" s="24"/>
      <c r="G106" s="23"/>
      <c r="H106" s="24"/>
    </row>
    <row r="107" spans="2:29" ht="28" customHeight="1" x14ac:dyDescent="0.25">
      <c r="B107" s="59">
        <f t="shared" si="4"/>
        <v>90</v>
      </c>
      <c r="C107" s="70" t="s">
        <v>147</v>
      </c>
      <c r="D107" s="26"/>
      <c r="E107" s="23" t="s">
        <v>2</v>
      </c>
      <c r="F107" s="24"/>
      <c r="G107" s="23"/>
      <c r="H107" s="24"/>
      <c r="I107" s="39"/>
      <c r="J107" s="39"/>
      <c r="K107" s="39"/>
      <c r="L107" s="39"/>
      <c r="M107" s="39"/>
      <c r="N107" s="39"/>
      <c r="O107" s="39"/>
      <c r="P107" s="39"/>
      <c r="Q107" s="39"/>
      <c r="R107" s="39"/>
      <c r="S107" s="39"/>
      <c r="T107" s="39"/>
      <c r="U107" s="39"/>
      <c r="V107" s="39"/>
      <c r="W107" s="39"/>
      <c r="X107" s="39"/>
      <c r="Y107" s="39"/>
      <c r="Z107" s="39"/>
      <c r="AA107" s="39"/>
      <c r="AB107" s="39"/>
      <c r="AC107" s="39"/>
    </row>
    <row r="108" spans="2:29" ht="28" customHeight="1" x14ac:dyDescent="0.25">
      <c r="B108" s="59">
        <f t="shared" si="4"/>
        <v>91</v>
      </c>
      <c r="C108" s="30" t="s">
        <v>154</v>
      </c>
      <c r="D108" s="38" t="s">
        <v>155</v>
      </c>
      <c r="E108" s="23" t="s">
        <v>5</v>
      </c>
      <c r="F108" s="24"/>
      <c r="G108" s="23"/>
      <c r="H108" s="24"/>
    </row>
    <row r="109" spans="2:29" x14ac:dyDescent="0.25">
      <c r="B109" s="59">
        <f t="shared" si="4"/>
        <v>92</v>
      </c>
      <c r="C109" s="70" t="s">
        <v>142</v>
      </c>
      <c r="D109" s="26" t="s">
        <v>128</v>
      </c>
      <c r="E109" s="23" t="s">
        <v>2</v>
      </c>
      <c r="F109" s="24"/>
      <c r="G109" s="23"/>
      <c r="H109" s="24"/>
    </row>
    <row r="110" spans="2:29" x14ac:dyDescent="0.25">
      <c r="B110" s="59">
        <f t="shared" si="4"/>
        <v>93</v>
      </c>
      <c r="C110" s="70" t="s">
        <v>143</v>
      </c>
      <c r="D110" s="26" t="s">
        <v>128</v>
      </c>
      <c r="E110" s="23" t="s">
        <v>2</v>
      </c>
      <c r="F110" s="24"/>
      <c r="G110" s="23"/>
      <c r="H110" s="24"/>
    </row>
    <row r="111" spans="2:29" x14ac:dyDescent="0.25">
      <c r="B111" s="59">
        <f t="shared" si="4"/>
        <v>94</v>
      </c>
      <c r="C111" s="70" t="s">
        <v>144</v>
      </c>
      <c r="D111" s="26" t="s">
        <v>103</v>
      </c>
      <c r="E111" s="23" t="s">
        <v>2</v>
      </c>
      <c r="F111" s="24"/>
      <c r="G111" s="23"/>
      <c r="H111" s="24"/>
    </row>
    <row r="112" spans="2:29" x14ac:dyDescent="0.25">
      <c r="B112" s="59">
        <f t="shared" si="4"/>
        <v>95</v>
      </c>
      <c r="C112" s="70" t="s">
        <v>145</v>
      </c>
      <c r="D112" s="26" t="s">
        <v>146</v>
      </c>
      <c r="E112" s="23" t="s">
        <v>2</v>
      </c>
      <c r="F112" s="24"/>
      <c r="G112" s="23"/>
      <c r="H112" s="24"/>
    </row>
    <row r="113" spans="2:29" ht="28" customHeight="1" x14ac:dyDescent="0.25">
      <c r="B113" s="59">
        <f t="shared" si="4"/>
        <v>96</v>
      </c>
      <c r="C113" s="70" t="s">
        <v>147</v>
      </c>
      <c r="D113" s="26"/>
      <c r="E113" s="23" t="s">
        <v>2</v>
      </c>
      <c r="F113" s="24"/>
      <c r="G113" s="23"/>
      <c r="H113" s="24"/>
      <c r="I113" s="39"/>
      <c r="J113" s="39"/>
      <c r="K113" s="39"/>
      <c r="L113" s="39"/>
      <c r="M113" s="39"/>
      <c r="N113" s="39"/>
      <c r="O113" s="39"/>
      <c r="P113" s="39"/>
      <c r="Q113" s="39"/>
      <c r="R113" s="39"/>
      <c r="S113" s="39"/>
      <c r="T113" s="39"/>
      <c r="U113" s="39"/>
      <c r="V113" s="39"/>
      <c r="W113" s="39"/>
      <c r="X113" s="39"/>
      <c r="Y113" s="39"/>
      <c r="Z113" s="39"/>
      <c r="AA113" s="39"/>
      <c r="AB113" s="39"/>
      <c r="AC113" s="39"/>
    </row>
    <row r="114" spans="2:29" ht="65" customHeight="1" x14ac:dyDescent="0.25">
      <c r="B114" s="19">
        <f t="shared" si="4"/>
        <v>97</v>
      </c>
      <c r="C114" s="30" t="s">
        <v>156</v>
      </c>
      <c r="D114" s="26" t="s">
        <v>157</v>
      </c>
      <c r="E114" s="23" t="s">
        <v>2</v>
      </c>
      <c r="F114" s="24"/>
      <c r="G114" s="23"/>
      <c r="H114" s="24"/>
    </row>
    <row r="115" spans="2:29" x14ac:dyDescent="0.25">
      <c r="B115" s="19">
        <f t="shared" si="4"/>
        <v>98</v>
      </c>
      <c r="C115" s="70" t="s">
        <v>142</v>
      </c>
      <c r="D115" s="26" t="s">
        <v>128</v>
      </c>
      <c r="E115" s="23" t="s">
        <v>2</v>
      </c>
      <c r="F115" s="24"/>
      <c r="G115" s="23"/>
      <c r="H115" s="24"/>
    </row>
    <row r="116" spans="2:29" x14ac:dyDescent="0.25">
      <c r="B116" s="19">
        <f t="shared" si="4"/>
        <v>99</v>
      </c>
      <c r="C116" s="70" t="s">
        <v>143</v>
      </c>
      <c r="D116" s="26" t="s">
        <v>128</v>
      </c>
      <c r="E116" s="23" t="s">
        <v>2</v>
      </c>
      <c r="F116" s="24"/>
      <c r="G116" s="23"/>
      <c r="H116" s="24"/>
    </row>
    <row r="117" spans="2:29" x14ac:dyDescent="0.25">
      <c r="B117" s="19">
        <f t="shared" si="4"/>
        <v>100</v>
      </c>
      <c r="C117" s="70" t="s">
        <v>144</v>
      </c>
      <c r="D117" s="26" t="s">
        <v>103</v>
      </c>
      <c r="E117" s="23" t="s">
        <v>2</v>
      </c>
      <c r="F117" s="24"/>
      <c r="G117" s="23"/>
      <c r="H117" s="24"/>
    </row>
    <row r="118" spans="2:29" x14ac:dyDescent="0.25">
      <c r="B118" s="19">
        <f t="shared" si="4"/>
        <v>101</v>
      </c>
      <c r="C118" s="70" t="s">
        <v>145</v>
      </c>
      <c r="D118" s="26" t="s">
        <v>146</v>
      </c>
      <c r="E118" s="23" t="s">
        <v>2</v>
      </c>
      <c r="F118" s="24"/>
      <c r="G118" s="23"/>
      <c r="H118" s="24"/>
    </row>
    <row r="119" spans="2:29" ht="28" customHeight="1" x14ac:dyDescent="0.25">
      <c r="B119" s="19">
        <f t="shared" si="4"/>
        <v>102</v>
      </c>
      <c r="C119" s="70" t="s">
        <v>147</v>
      </c>
      <c r="D119" s="26"/>
      <c r="E119" s="23" t="s">
        <v>2</v>
      </c>
      <c r="F119" s="24"/>
      <c r="G119" s="23"/>
      <c r="H119" s="24"/>
      <c r="I119" s="39"/>
      <c r="J119" s="39"/>
      <c r="K119" s="39"/>
      <c r="L119" s="39"/>
      <c r="M119" s="39"/>
      <c r="N119" s="39"/>
      <c r="O119" s="39"/>
      <c r="P119" s="39"/>
      <c r="Q119" s="39"/>
      <c r="R119" s="39"/>
      <c r="S119" s="39"/>
      <c r="T119" s="39"/>
      <c r="U119" s="39"/>
      <c r="V119" s="39"/>
      <c r="W119" s="39"/>
      <c r="X119" s="39"/>
      <c r="Y119" s="39"/>
      <c r="Z119" s="39"/>
      <c r="AA119" s="39"/>
      <c r="AB119" s="39"/>
      <c r="AC119" s="39"/>
    </row>
    <row r="120" spans="2:29" x14ac:dyDescent="0.25">
      <c r="B120" s="19" t="s">
        <v>19</v>
      </c>
      <c r="C120" s="20" t="s">
        <v>158</v>
      </c>
      <c r="D120" s="11" t="s">
        <v>21</v>
      </c>
      <c r="E120" s="27" t="s">
        <v>1</v>
      </c>
      <c r="F120" s="27"/>
      <c r="G120" s="27"/>
      <c r="H120" s="27"/>
    </row>
    <row r="121" spans="2:29" ht="44" customHeight="1" x14ac:dyDescent="0.25">
      <c r="B121" s="19">
        <f>B119+1</f>
        <v>103</v>
      </c>
      <c r="C121" s="30" t="s">
        <v>159</v>
      </c>
      <c r="D121" s="26" t="s">
        <v>160</v>
      </c>
      <c r="E121" s="23" t="s">
        <v>1</v>
      </c>
      <c r="F121" s="24"/>
      <c r="G121" s="23"/>
      <c r="H121" s="24"/>
      <c r="I121" s="39"/>
      <c r="J121" s="39"/>
      <c r="K121" s="39"/>
      <c r="L121" s="39"/>
      <c r="M121" s="39"/>
      <c r="N121" s="39"/>
      <c r="O121" s="39"/>
      <c r="P121" s="39"/>
      <c r="Q121" s="39"/>
      <c r="R121" s="39"/>
      <c r="S121" s="39"/>
      <c r="T121" s="39"/>
      <c r="U121" s="39"/>
      <c r="V121" s="39"/>
      <c r="W121" s="39"/>
      <c r="X121" s="39"/>
      <c r="Y121" s="39"/>
      <c r="Z121" s="39"/>
      <c r="AA121" s="39"/>
      <c r="AB121" s="39"/>
      <c r="AC121" s="39"/>
    </row>
    <row r="122" spans="2:29" ht="44" customHeight="1" thickBot="1" x14ac:dyDescent="0.3">
      <c r="B122" s="19">
        <f t="shared" ref="B122:B139" si="5">B121+1</f>
        <v>104</v>
      </c>
      <c r="C122" s="30" t="s">
        <v>161</v>
      </c>
      <c r="D122" s="26" t="s">
        <v>162</v>
      </c>
      <c r="E122" s="23" t="s">
        <v>2</v>
      </c>
      <c r="F122" s="24"/>
      <c r="G122" s="23"/>
      <c r="H122" s="24"/>
      <c r="I122" s="39"/>
      <c r="J122" s="39"/>
      <c r="K122" s="39"/>
      <c r="L122" s="39"/>
      <c r="M122" s="39"/>
      <c r="N122" s="39"/>
      <c r="O122" s="39"/>
      <c r="P122" s="39"/>
      <c r="Q122" s="39"/>
      <c r="R122" s="39"/>
      <c r="S122" s="39"/>
      <c r="T122" s="39"/>
      <c r="U122" s="39"/>
      <c r="V122" s="39"/>
      <c r="W122" s="39"/>
      <c r="X122" s="39"/>
      <c r="Y122" s="39"/>
      <c r="Z122" s="39"/>
      <c r="AA122" s="39"/>
      <c r="AB122" s="39"/>
      <c r="AC122" s="39"/>
    </row>
    <row r="123" spans="2:29" ht="44" customHeight="1" thickBot="1" x14ac:dyDescent="0.3">
      <c r="B123" s="59">
        <f t="shared" si="5"/>
        <v>105</v>
      </c>
      <c r="C123" s="64" t="s">
        <v>163</v>
      </c>
      <c r="D123" s="65" t="s">
        <v>164</v>
      </c>
      <c r="E123" s="23" t="s">
        <v>5</v>
      </c>
      <c r="F123" s="24"/>
      <c r="G123" s="23"/>
      <c r="H123" s="24"/>
      <c r="I123" s="39"/>
      <c r="J123" s="39"/>
      <c r="K123" s="39"/>
      <c r="L123" s="39"/>
      <c r="M123" s="39"/>
      <c r="N123" s="39"/>
      <c r="O123" s="39"/>
      <c r="P123" s="39"/>
      <c r="Q123" s="39"/>
      <c r="R123" s="39"/>
      <c r="S123" s="39"/>
      <c r="T123" s="39"/>
      <c r="U123" s="39"/>
      <c r="V123" s="39"/>
      <c r="W123" s="39"/>
      <c r="X123" s="39"/>
      <c r="Y123" s="39"/>
      <c r="Z123" s="39"/>
      <c r="AA123" s="39"/>
      <c r="AB123" s="39"/>
      <c r="AC123" s="39"/>
    </row>
    <row r="124" spans="2:29" ht="44" customHeight="1" thickBot="1" x14ac:dyDescent="0.3">
      <c r="B124" s="19">
        <f t="shared" si="5"/>
        <v>106</v>
      </c>
      <c r="C124" s="64" t="s">
        <v>165</v>
      </c>
      <c r="D124" s="65" t="s">
        <v>166</v>
      </c>
      <c r="E124" s="23" t="s">
        <v>1</v>
      </c>
      <c r="F124" s="24"/>
      <c r="G124" s="23"/>
      <c r="H124" s="24"/>
      <c r="I124" s="39"/>
      <c r="J124" s="39"/>
      <c r="K124" s="39"/>
      <c r="L124" s="39"/>
      <c r="M124" s="39"/>
      <c r="N124" s="39"/>
      <c r="O124" s="39"/>
      <c r="P124" s="39"/>
      <c r="Q124" s="39"/>
      <c r="R124" s="39"/>
      <c r="S124" s="39"/>
      <c r="T124" s="39"/>
      <c r="U124" s="39"/>
      <c r="V124" s="39"/>
      <c r="W124" s="39"/>
      <c r="X124" s="39"/>
      <c r="Y124" s="39"/>
      <c r="Z124" s="39"/>
      <c r="AA124" s="39"/>
      <c r="AB124" s="39"/>
      <c r="AC124" s="39"/>
    </row>
    <row r="125" spans="2:29" ht="44" customHeight="1" thickBot="1" x14ac:dyDescent="0.3">
      <c r="B125" s="19">
        <f t="shared" si="5"/>
        <v>107</v>
      </c>
      <c r="C125" s="64" t="s">
        <v>167</v>
      </c>
      <c r="D125" s="65" t="s">
        <v>168</v>
      </c>
      <c r="E125" s="23" t="s">
        <v>2</v>
      </c>
      <c r="F125" s="24"/>
      <c r="G125" s="23"/>
      <c r="H125" s="24"/>
      <c r="I125" s="39"/>
      <c r="J125" s="39"/>
      <c r="K125" s="39"/>
      <c r="L125" s="39"/>
      <c r="M125" s="39"/>
      <c r="N125" s="39"/>
      <c r="O125" s="39"/>
      <c r="P125" s="39"/>
      <c r="Q125" s="39"/>
      <c r="R125" s="39"/>
      <c r="S125" s="39"/>
      <c r="T125" s="39"/>
      <c r="U125" s="39"/>
      <c r="V125" s="39"/>
      <c r="W125" s="39"/>
      <c r="X125" s="39"/>
      <c r="Y125" s="39"/>
      <c r="Z125" s="39"/>
      <c r="AA125" s="39"/>
      <c r="AB125" s="39"/>
      <c r="AC125" s="39"/>
    </row>
    <row r="126" spans="2:29" ht="44" customHeight="1" thickBot="1" x14ac:dyDescent="0.3">
      <c r="B126" s="19">
        <f t="shared" si="5"/>
        <v>108</v>
      </c>
      <c r="C126" s="64" t="s">
        <v>169</v>
      </c>
      <c r="D126" s="65" t="s">
        <v>170</v>
      </c>
      <c r="E126" s="23" t="s">
        <v>2</v>
      </c>
      <c r="F126" s="24"/>
      <c r="G126" s="23"/>
      <c r="H126" s="24"/>
      <c r="I126" s="39"/>
      <c r="J126" s="39"/>
      <c r="K126" s="39"/>
      <c r="L126" s="39"/>
      <c r="M126" s="39"/>
      <c r="N126" s="39"/>
      <c r="O126" s="39"/>
      <c r="P126" s="39"/>
      <c r="Q126" s="39"/>
      <c r="R126" s="39"/>
      <c r="S126" s="39"/>
      <c r="T126" s="39"/>
      <c r="U126" s="39"/>
      <c r="V126" s="39"/>
      <c r="W126" s="39"/>
      <c r="X126" s="39"/>
      <c r="Y126" s="39"/>
      <c r="Z126" s="39"/>
      <c r="AA126" s="39"/>
      <c r="AB126" s="39"/>
      <c r="AC126" s="39"/>
    </row>
    <row r="127" spans="2:29" ht="44" customHeight="1" thickBot="1" x14ac:dyDescent="0.3">
      <c r="B127" s="19">
        <f t="shared" si="5"/>
        <v>109</v>
      </c>
      <c r="C127" s="64" t="s">
        <v>171</v>
      </c>
      <c r="D127" s="65" t="s">
        <v>172</v>
      </c>
      <c r="E127" s="23" t="s">
        <v>2</v>
      </c>
      <c r="F127" s="24"/>
      <c r="G127" s="23"/>
      <c r="H127" s="24"/>
      <c r="I127" s="39"/>
      <c r="J127" s="39"/>
      <c r="K127" s="39"/>
      <c r="L127" s="39"/>
      <c r="M127" s="39"/>
      <c r="N127" s="39"/>
      <c r="O127" s="39"/>
      <c r="P127" s="39"/>
      <c r="Q127" s="39"/>
      <c r="R127" s="39"/>
      <c r="S127" s="39"/>
      <c r="T127" s="39"/>
      <c r="U127" s="39"/>
      <c r="V127" s="39"/>
      <c r="W127" s="39"/>
      <c r="X127" s="39"/>
      <c r="Y127" s="39"/>
      <c r="Z127" s="39"/>
      <c r="AA127" s="39"/>
      <c r="AB127" s="39"/>
      <c r="AC127" s="39"/>
    </row>
    <row r="128" spans="2:29" ht="44" customHeight="1" thickBot="1" x14ac:dyDescent="0.3">
      <c r="B128" s="19">
        <f t="shared" si="5"/>
        <v>110</v>
      </c>
      <c r="C128" s="64" t="s">
        <v>173</v>
      </c>
      <c r="D128" s="65" t="s">
        <v>174</v>
      </c>
      <c r="E128" s="23" t="s">
        <v>2</v>
      </c>
      <c r="F128" s="24"/>
      <c r="G128" s="23"/>
      <c r="H128" s="24"/>
      <c r="I128" s="39"/>
      <c r="J128" s="39"/>
      <c r="K128" s="39"/>
      <c r="L128" s="39"/>
      <c r="M128" s="39"/>
      <c r="N128" s="39"/>
      <c r="O128" s="39"/>
      <c r="P128" s="39"/>
      <c r="Q128" s="39"/>
      <c r="R128" s="39"/>
      <c r="S128" s="39"/>
      <c r="T128" s="39"/>
      <c r="U128" s="39"/>
      <c r="V128" s="39"/>
      <c r="W128" s="39"/>
      <c r="X128" s="39"/>
      <c r="Y128" s="39"/>
      <c r="Z128" s="39"/>
      <c r="AA128" s="39"/>
      <c r="AB128" s="39"/>
      <c r="AC128" s="39"/>
    </row>
    <row r="129" spans="1:29" ht="44" customHeight="1" thickBot="1" x14ac:dyDescent="0.3">
      <c r="B129" s="19">
        <f t="shared" si="5"/>
        <v>111</v>
      </c>
      <c r="C129" s="64" t="s">
        <v>175</v>
      </c>
      <c r="D129" s="65" t="s">
        <v>176</v>
      </c>
      <c r="E129" s="23" t="s">
        <v>2</v>
      </c>
      <c r="F129" s="24"/>
      <c r="G129" s="23"/>
      <c r="H129" s="24"/>
      <c r="I129" s="39"/>
      <c r="J129" s="39"/>
      <c r="K129" s="39"/>
      <c r="L129" s="39"/>
      <c r="M129" s="39"/>
      <c r="N129" s="39"/>
      <c r="O129" s="39"/>
      <c r="P129" s="39"/>
      <c r="Q129" s="39"/>
      <c r="R129" s="39"/>
      <c r="S129" s="39"/>
      <c r="T129" s="39"/>
      <c r="U129" s="39"/>
      <c r="V129" s="39"/>
      <c r="W129" s="39"/>
      <c r="X129" s="39"/>
      <c r="Y129" s="39"/>
      <c r="Z129" s="39"/>
      <c r="AA129" s="39"/>
      <c r="AB129" s="39"/>
      <c r="AC129" s="39"/>
    </row>
    <row r="130" spans="1:29" ht="44" customHeight="1" thickBot="1" x14ac:dyDescent="0.3">
      <c r="B130" s="19">
        <f t="shared" si="5"/>
        <v>112</v>
      </c>
      <c r="C130" s="64" t="s">
        <v>177</v>
      </c>
      <c r="D130" s="65" t="s">
        <v>178</v>
      </c>
      <c r="E130" s="23" t="s">
        <v>2</v>
      </c>
      <c r="F130" s="24"/>
      <c r="G130" s="23"/>
      <c r="H130" s="24"/>
      <c r="I130" s="39"/>
      <c r="J130" s="39"/>
      <c r="K130" s="39"/>
      <c r="L130" s="39"/>
      <c r="M130" s="39"/>
      <c r="N130" s="39"/>
      <c r="O130" s="39"/>
      <c r="P130" s="39"/>
      <c r="Q130" s="39"/>
      <c r="R130" s="39"/>
      <c r="S130" s="39"/>
      <c r="T130" s="39"/>
      <c r="U130" s="39"/>
      <c r="V130" s="39"/>
      <c r="W130" s="39"/>
      <c r="X130" s="39"/>
      <c r="Y130" s="39"/>
      <c r="Z130" s="39"/>
      <c r="AA130" s="39"/>
      <c r="AB130" s="39"/>
      <c r="AC130" s="39"/>
    </row>
    <row r="131" spans="1:29" ht="44" customHeight="1" thickBot="1" x14ac:dyDescent="0.3">
      <c r="B131" s="19">
        <f t="shared" si="5"/>
        <v>113</v>
      </c>
      <c r="C131" s="64" t="s">
        <v>179</v>
      </c>
      <c r="D131" s="65" t="s">
        <v>180</v>
      </c>
      <c r="E131" s="23" t="s">
        <v>2</v>
      </c>
      <c r="F131" s="24"/>
      <c r="G131" s="23"/>
      <c r="H131" s="24"/>
      <c r="I131" s="39"/>
      <c r="J131" s="39"/>
      <c r="K131" s="39"/>
      <c r="L131" s="39"/>
      <c r="M131" s="39"/>
      <c r="N131" s="39"/>
      <c r="O131" s="39"/>
      <c r="P131" s="39"/>
      <c r="Q131" s="39"/>
      <c r="R131" s="39"/>
      <c r="S131" s="39"/>
      <c r="T131" s="39"/>
      <c r="U131" s="39"/>
      <c r="V131" s="39"/>
      <c r="W131" s="39"/>
      <c r="X131" s="39"/>
      <c r="Y131" s="39"/>
      <c r="Z131" s="39"/>
      <c r="AA131" s="39"/>
      <c r="AB131" s="39"/>
      <c r="AC131" s="39"/>
    </row>
    <row r="132" spans="1:29" ht="44" customHeight="1" thickBot="1" x14ac:dyDescent="0.3">
      <c r="B132" s="19">
        <f t="shared" si="5"/>
        <v>114</v>
      </c>
      <c r="C132" s="64" t="s">
        <v>181</v>
      </c>
      <c r="D132" s="65" t="s">
        <v>182</v>
      </c>
      <c r="E132" s="23" t="s">
        <v>1</v>
      </c>
      <c r="F132" s="24"/>
      <c r="G132" s="23"/>
      <c r="H132" s="24"/>
      <c r="I132" s="39"/>
      <c r="J132" s="39"/>
      <c r="K132" s="39"/>
      <c r="L132" s="39"/>
      <c r="M132" s="39"/>
      <c r="N132" s="39"/>
      <c r="O132" s="39"/>
      <c r="P132" s="39"/>
      <c r="Q132" s="39"/>
      <c r="R132" s="39"/>
      <c r="S132" s="39"/>
      <c r="T132" s="39"/>
      <c r="U132" s="39"/>
      <c r="V132" s="39"/>
      <c r="W132" s="39"/>
      <c r="X132" s="39"/>
      <c r="Y132" s="39"/>
      <c r="Z132" s="39"/>
      <c r="AA132" s="39"/>
      <c r="AB132" s="39"/>
      <c r="AC132" s="39"/>
    </row>
    <row r="133" spans="1:29" ht="44" customHeight="1" thickBot="1" x14ac:dyDescent="0.3">
      <c r="B133" s="19">
        <f t="shared" si="5"/>
        <v>115</v>
      </c>
      <c r="C133" s="64" t="s">
        <v>183</v>
      </c>
      <c r="D133" s="65" t="s">
        <v>184</v>
      </c>
      <c r="E133" s="23" t="s">
        <v>2</v>
      </c>
      <c r="F133" s="24"/>
      <c r="G133" s="23"/>
      <c r="H133" s="24"/>
      <c r="I133" s="39"/>
      <c r="J133" s="39"/>
      <c r="K133" s="39"/>
      <c r="L133" s="39"/>
      <c r="M133" s="39"/>
      <c r="N133" s="39"/>
      <c r="O133" s="39"/>
      <c r="P133" s="39"/>
      <c r="Q133" s="39"/>
      <c r="R133" s="39"/>
      <c r="S133" s="39"/>
      <c r="T133" s="39"/>
      <c r="U133" s="39"/>
      <c r="V133" s="39"/>
      <c r="W133" s="39"/>
      <c r="X133" s="39"/>
      <c r="Y133" s="39"/>
      <c r="Z133" s="39"/>
      <c r="AA133" s="39"/>
      <c r="AB133" s="39"/>
      <c r="AC133" s="39"/>
    </row>
    <row r="134" spans="1:29" ht="44" customHeight="1" thickBot="1" x14ac:dyDescent="0.3">
      <c r="B134" s="19">
        <f t="shared" si="5"/>
        <v>116</v>
      </c>
      <c r="C134" s="64" t="s">
        <v>185</v>
      </c>
      <c r="D134" s="65" t="s">
        <v>186</v>
      </c>
      <c r="E134" s="23" t="s">
        <v>2</v>
      </c>
      <c r="F134" s="24"/>
      <c r="G134" s="23"/>
      <c r="H134" s="24"/>
      <c r="I134" s="39"/>
      <c r="J134" s="39"/>
      <c r="K134" s="39"/>
      <c r="L134" s="39"/>
      <c r="M134" s="39"/>
      <c r="N134" s="39"/>
      <c r="O134" s="39"/>
      <c r="P134" s="39"/>
      <c r="Q134" s="39"/>
      <c r="R134" s="39"/>
      <c r="S134" s="39"/>
      <c r="T134" s="39"/>
      <c r="U134" s="39"/>
      <c r="V134" s="39"/>
      <c r="W134" s="39"/>
      <c r="X134" s="39"/>
      <c r="Y134" s="39"/>
      <c r="Z134" s="39"/>
      <c r="AA134" s="39"/>
      <c r="AB134" s="39"/>
      <c r="AC134" s="39"/>
    </row>
    <row r="135" spans="1:29" ht="44" customHeight="1" thickBot="1" x14ac:dyDescent="0.3">
      <c r="B135" s="19">
        <f t="shared" si="5"/>
        <v>117</v>
      </c>
      <c r="C135" s="64" t="s">
        <v>187</v>
      </c>
      <c r="D135" s="65" t="s">
        <v>188</v>
      </c>
      <c r="E135" s="23" t="s">
        <v>2</v>
      </c>
      <c r="F135" s="24"/>
      <c r="G135" s="23"/>
      <c r="H135" s="24"/>
      <c r="I135" s="39"/>
      <c r="J135" s="39"/>
      <c r="K135" s="39"/>
      <c r="L135" s="39"/>
      <c r="M135" s="39"/>
      <c r="N135" s="39"/>
      <c r="O135" s="39"/>
      <c r="P135" s="39"/>
      <c r="Q135" s="39"/>
      <c r="R135" s="39"/>
      <c r="S135" s="39"/>
      <c r="T135" s="39"/>
      <c r="U135" s="39"/>
      <c r="V135" s="39"/>
      <c r="W135" s="39"/>
      <c r="X135" s="39"/>
      <c r="Y135" s="39"/>
      <c r="Z135" s="39"/>
      <c r="AA135" s="39"/>
      <c r="AB135" s="39"/>
      <c r="AC135" s="39"/>
    </row>
    <row r="136" spans="1:29" ht="44" customHeight="1" thickBot="1" x14ac:dyDescent="0.3">
      <c r="B136" s="19">
        <f t="shared" si="5"/>
        <v>118</v>
      </c>
      <c r="C136" s="64" t="s">
        <v>189</v>
      </c>
      <c r="D136" s="65" t="s">
        <v>190</v>
      </c>
      <c r="E136" s="23" t="s">
        <v>2</v>
      </c>
      <c r="F136" s="24"/>
      <c r="G136" s="23"/>
      <c r="H136" s="24"/>
      <c r="I136" s="39"/>
      <c r="J136" s="39"/>
      <c r="K136" s="39"/>
      <c r="L136" s="39"/>
      <c r="M136" s="39"/>
      <c r="N136" s="39"/>
      <c r="O136" s="39"/>
      <c r="P136" s="39"/>
      <c r="Q136" s="39"/>
      <c r="R136" s="39"/>
      <c r="S136" s="39"/>
      <c r="T136" s="39"/>
      <c r="U136" s="39"/>
      <c r="V136" s="39"/>
      <c r="W136" s="39"/>
      <c r="X136" s="39"/>
      <c r="Y136" s="39"/>
      <c r="Z136" s="39"/>
      <c r="AA136" s="39"/>
      <c r="AB136" s="39"/>
      <c r="AC136" s="39"/>
    </row>
    <row r="137" spans="1:29" ht="44" customHeight="1" thickBot="1" x14ac:dyDescent="0.3">
      <c r="B137" s="19">
        <f t="shared" si="5"/>
        <v>119</v>
      </c>
      <c r="C137" s="64" t="s">
        <v>191</v>
      </c>
      <c r="D137" s="65" t="s">
        <v>192</v>
      </c>
      <c r="E137" s="23" t="s">
        <v>2</v>
      </c>
      <c r="F137" s="24"/>
      <c r="G137" s="23"/>
      <c r="H137" s="24"/>
      <c r="I137" s="39"/>
      <c r="J137" s="39"/>
      <c r="K137" s="39"/>
      <c r="L137" s="39"/>
      <c r="M137" s="39"/>
      <c r="N137" s="39"/>
      <c r="O137" s="39"/>
      <c r="P137" s="39"/>
      <c r="Q137" s="39"/>
      <c r="R137" s="39"/>
      <c r="S137" s="39"/>
      <c r="T137" s="39"/>
      <c r="U137" s="39"/>
      <c r="V137" s="39"/>
      <c r="W137" s="39"/>
      <c r="X137" s="39"/>
      <c r="Y137" s="39"/>
      <c r="Z137" s="39"/>
      <c r="AA137" s="39"/>
      <c r="AB137" s="39"/>
      <c r="AC137" s="39"/>
    </row>
    <row r="138" spans="1:29" ht="28" customHeight="1" x14ac:dyDescent="0.25">
      <c r="B138" s="19">
        <f t="shared" si="5"/>
        <v>120</v>
      </c>
      <c r="C138" s="71" t="s">
        <v>193</v>
      </c>
      <c r="D138" s="26" t="s">
        <v>128</v>
      </c>
      <c r="E138" s="23" t="s">
        <v>1</v>
      </c>
      <c r="F138" s="24"/>
      <c r="G138" s="23"/>
      <c r="H138" s="24"/>
      <c r="I138" s="39"/>
      <c r="J138" s="39"/>
      <c r="K138" s="39"/>
      <c r="L138" s="39"/>
      <c r="M138" s="39"/>
      <c r="N138" s="39"/>
      <c r="O138" s="39"/>
      <c r="P138" s="39"/>
      <c r="Q138" s="39"/>
      <c r="R138" s="39"/>
      <c r="S138" s="39"/>
      <c r="T138" s="39"/>
      <c r="U138" s="39"/>
      <c r="V138" s="39"/>
      <c r="W138" s="39"/>
      <c r="X138" s="39"/>
      <c r="Y138" s="39"/>
      <c r="Z138" s="39"/>
      <c r="AA138" s="39"/>
      <c r="AB138" s="39"/>
      <c r="AC138" s="39"/>
    </row>
    <row r="139" spans="1:29" ht="28" customHeight="1" x14ac:dyDescent="0.25">
      <c r="B139" s="19">
        <f t="shared" si="5"/>
        <v>121</v>
      </c>
      <c r="C139" s="71" t="s">
        <v>194</v>
      </c>
      <c r="D139" s="26" t="s">
        <v>128</v>
      </c>
      <c r="E139" s="23" t="s">
        <v>1</v>
      </c>
      <c r="F139" s="24"/>
      <c r="G139" s="23"/>
      <c r="H139" s="24"/>
      <c r="I139" s="39"/>
      <c r="J139" s="39"/>
      <c r="K139" s="39"/>
      <c r="L139" s="39"/>
      <c r="M139" s="39"/>
      <c r="N139" s="39"/>
      <c r="O139" s="39"/>
      <c r="P139" s="39"/>
      <c r="Q139" s="39"/>
      <c r="R139" s="39"/>
      <c r="S139" s="39"/>
      <c r="T139" s="39"/>
      <c r="U139" s="39"/>
      <c r="V139" s="39"/>
      <c r="W139" s="39"/>
      <c r="X139" s="39"/>
      <c r="Y139" s="39"/>
      <c r="Z139" s="39"/>
      <c r="AA139" s="39"/>
      <c r="AB139" s="39"/>
      <c r="AC139" s="39"/>
    </row>
    <row r="140" spans="1:29" x14ac:dyDescent="0.25">
      <c r="A140" s="40"/>
      <c r="B140" s="19" t="s">
        <v>19</v>
      </c>
      <c r="C140" s="20" t="s">
        <v>195</v>
      </c>
      <c r="D140" s="11"/>
      <c r="E140" s="27" t="s">
        <v>1</v>
      </c>
      <c r="F140" s="27"/>
      <c r="G140" s="27"/>
      <c r="H140" s="27"/>
    </row>
    <row r="141" spans="1:29" ht="28" customHeight="1" x14ac:dyDescent="0.25">
      <c r="B141" s="59">
        <f>B139+1</f>
        <v>122</v>
      </c>
      <c r="C141" s="41" t="s">
        <v>196</v>
      </c>
      <c r="D141" s="22" t="s">
        <v>197</v>
      </c>
      <c r="E141" s="23" t="s">
        <v>5</v>
      </c>
      <c r="F141" s="24"/>
      <c r="G141" s="23"/>
      <c r="H141" s="24"/>
    </row>
    <row r="142" spans="1:29" ht="28" customHeight="1" x14ac:dyDescent="0.25">
      <c r="B142" s="59">
        <f>B141+1</f>
        <v>123</v>
      </c>
      <c r="C142" s="41" t="s">
        <v>198</v>
      </c>
      <c r="D142" s="22" t="s">
        <v>199</v>
      </c>
      <c r="E142" s="23" t="s">
        <v>5</v>
      </c>
      <c r="F142" s="24"/>
      <c r="G142" s="23"/>
      <c r="H142" s="24"/>
    </row>
    <row r="143" spans="1:29" ht="86" customHeight="1" x14ac:dyDescent="0.25">
      <c r="B143" s="59">
        <f>B142+1</f>
        <v>124</v>
      </c>
      <c r="C143" s="41" t="s">
        <v>200</v>
      </c>
      <c r="D143" s="22" t="s">
        <v>201</v>
      </c>
      <c r="E143" s="23" t="s">
        <v>5</v>
      </c>
      <c r="F143" s="24"/>
      <c r="G143" s="23"/>
      <c r="H143" s="24"/>
    </row>
    <row r="144" spans="1:29" x14ac:dyDescent="0.25">
      <c r="B144" s="19"/>
      <c r="C144" s="20"/>
      <c r="D144" s="42"/>
      <c r="E144" s="27"/>
      <c r="F144" s="27"/>
      <c r="G144" s="27"/>
      <c r="H144" s="27"/>
    </row>
    <row r="145" spans="2:8" x14ac:dyDescent="0.25">
      <c r="B145" s="19"/>
      <c r="C145" s="31"/>
      <c r="D145" s="26"/>
      <c r="E145" s="23"/>
      <c r="F145" s="24"/>
      <c r="G145" s="23"/>
      <c r="H145" s="24"/>
    </row>
    <row r="146" spans="2:8" x14ac:dyDescent="0.25">
      <c r="B146" s="19"/>
      <c r="C146" s="31"/>
      <c r="D146" s="26"/>
      <c r="E146" s="23"/>
      <c r="F146" s="24"/>
      <c r="G146" s="23"/>
      <c r="H146" s="24"/>
    </row>
    <row r="147" spans="2:8" x14ac:dyDescent="0.25">
      <c r="C147" s="6" t="s">
        <v>202</v>
      </c>
      <c r="D147" s="8"/>
      <c r="E147" s="43">
        <f>IF((E$150+E$151)&gt;0,E$150/(E$150+E$151),0)</f>
        <v>0.50909090909090904</v>
      </c>
      <c r="F147" s="44"/>
      <c r="G147" s="43">
        <f>IF((G$150+G$151)&gt;0,G$150/(G$150+G$151),0)</f>
        <v>0</v>
      </c>
      <c r="H147" s="44"/>
    </row>
    <row r="148" spans="2:8" x14ac:dyDescent="0.25">
      <c r="C148" s="45"/>
      <c r="D148" s="46"/>
      <c r="E148" s="47"/>
      <c r="F148" s="48"/>
      <c r="G148" s="47"/>
      <c r="H148" s="48"/>
    </row>
    <row r="149" spans="2:8" x14ac:dyDescent="0.25">
      <c r="C149" s="45" t="s">
        <v>203</v>
      </c>
      <c r="D149" s="46"/>
      <c r="E149" s="49">
        <f>COUNT($B$11:$B$146)</f>
        <v>124</v>
      </c>
      <c r="F149" s="48"/>
      <c r="G149" s="49">
        <f>COUNT($B$11:$B$146)</f>
        <v>124</v>
      </c>
      <c r="H149" s="48"/>
    </row>
    <row r="150" spans="2:8" x14ac:dyDescent="0.25">
      <c r="C150" s="50" t="s">
        <v>204</v>
      </c>
      <c r="E150" s="49">
        <f>COUNTIF(E$11:E$146,"OK")</f>
        <v>56</v>
      </c>
      <c r="G150" s="49">
        <f>COUNTIF(G$11:G$146,"OK")</f>
        <v>0</v>
      </c>
    </row>
    <row r="151" spans="2:8" x14ac:dyDescent="0.25">
      <c r="C151" s="52" t="s">
        <v>205</v>
      </c>
      <c r="D151" s="53"/>
      <c r="E151" s="49">
        <f>COUNTIF(E$11:E$146,"NO OK")</f>
        <v>54</v>
      </c>
      <c r="G151" s="49">
        <f>COUNTIF(G$11:G$146,"NO OK")</f>
        <v>0</v>
      </c>
    </row>
    <row r="152" spans="2:8" x14ac:dyDescent="0.25">
      <c r="C152" s="50" t="s">
        <v>206</v>
      </c>
      <c r="E152" s="49">
        <f>COUNTIF(E$11:E$146,"No Aplica")</f>
        <v>23</v>
      </c>
      <c r="G152" s="49">
        <f>COUNTIF(G$11:G$146,"No Aplica")</f>
        <v>0</v>
      </c>
    </row>
    <row r="153" spans="2:8" x14ac:dyDescent="0.25">
      <c r="E153" s="49"/>
      <c r="G153" s="49"/>
    </row>
    <row r="154" spans="2:8" s="56" customFormat="1" ht="37.5" customHeight="1" x14ac:dyDescent="0.25">
      <c r="B154" s="54"/>
      <c r="C154" s="51"/>
      <c r="D154" s="51"/>
      <c r="E154" s="55" t="str">
        <f>IF(SUM(E$150:E$152)&lt;E$149, "Todavía faltan puntos por calificar.","Se han calificado ya todos los puntos para este Producto.")</f>
        <v>Se han calificado ya todos los puntos para este Producto.</v>
      </c>
      <c r="G154" s="55"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8 E50:E57 E59:E62 E64:E81 E83:E119 E121:E139 E141:E143 E145:E146 G11:G20 G22:G27 G30:G48 G50:G57 G59:G62 G64:G81 G83:G119 G121:G139 G141:G143 G145:G146" xr:uid="{00000000-0002-0000-0000-000000000000}">
      <formula1>$AC$1:$AC$3</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2"/>
  <sheetViews>
    <sheetView workbookViewId="0"/>
  </sheetViews>
  <sheetFormatPr defaultRowHeight="14.5" x14ac:dyDescent="0.35"/>
  <sheetData>
    <row r="1" spans="1:3" x14ac:dyDescent="0.35">
      <c r="A1" t="s">
        <v>207</v>
      </c>
      <c r="B1" t="s">
        <v>208</v>
      </c>
      <c r="C1" t="s">
        <v>209</v>
      </c>
    </row>
    <row r="2" spans="1:3" x14ac:dyDescent="0.35">
      <c r="A2">
        <v>3</v>
      </c>
      <c r="B2" t="s">
        <v>3</v>
      </c>
      <c r="C2" t="s">
        <v>210</v>
      </c>
    </row>
    <row r="3" spans="1:3" x14ac:dyDescent="0.35">
      <c r="A3">
        <v>4</v>
      </c>
      <c r="B3" t="s">
        <v>6</v>
      </c>
      <c r="C3" t="s">
        <v>211</v>
      </c>
    </row>
    <row r="4" spans="1:3" x14ac:dyDescent="0.35">
      <c r="A4">
        <v>6</v>
      </c>
      <c r="B4" t="s">
        <v>8</v>
      </c>
      <c r="C4" t="s">
        <v>212</v>
      </c>
    </row>
    <row r="5" spans="1:3" x14ac:dyDescent="0.35">
      <c r="A5">
        <v>8</v>
      </c>
      <c r="B5" t="s">
        <v>12</v>
      </c>
      <c r="C5" t="s">
        <v>213</v>
      </c>
    </row>
    <row r="6" spans="1:3" x14ac:dyDescent="0.35">
      <c r="A6">
        <v>9</v>
      </c>
      <c r="B6" t="s">
        <v>15</v>
      </c>
      <c r="C6" t="s">
        <v>214</v>
      </c>
    </row>
    <row r="7" spans="1:3" x14ac:dyDescent="0.35">
      <c r="A7">
        <v>10</v>
      </c>
      <c r="B7" t="s">
        <v>20</v>
      </c>
      <c r="C7" t="s">
        <v>215</v>
      </c>
    </row>
    <row r="8" spans="1:3" x14ac:dyDescent="0.35">
      <c r="A8">
        <v>11</v>
      </c>
      <c r="B8" t="s">
        <v>22</v>
      </c>
      <c r="C8" t="s">
        <v>216</v>
      </c>
    </row>
    <row r="9" spans="1:3" x14ac:dyDescent="0.35">
      <c r="A9">
        <v>12</v>
      </c>
      <c r="B9" t="s">
        <v>24</v>
      </c>
      <c r="C9" t="s">
        <v>217</v>
      </c>
    </row>
    <row r="10" spans="1:3" x14ac:dyDescent="0.35">
      <c r="A10">
        <v>13</v>
      </c>
      <c r="B10" t="s">
        <v>26</v>
      </c>
      <c r="C10" t="s">
        <v>218</v>
      </c>
    </row>
    <row r="11" spans="1:3" x14ac:dyDescent="0.35">
      <c r="A11">
        <v>14</v>
      </c>
      <c r="B11" t="s">
        <v>28</v>
      </c>
      <c r="C11" t="s">
        <v>219</v>
      </c>
    </row>
    <row r="12" spans="1:3" x14ac:dyDescent="0.35">
      <c r="A12">
        <v>15</v>
      </c>
      <c r="B12" t="s">
        <v>30</v>
      </c>
      <c r="C12" t="s">
        <v>220</v>
      </c>
    </row>
    <row r="13" spans="1:3" x14ac:dyDescent="0.35">
      <c r="A13">
        <v>16</v>
      </c>
      <c r="B13" t="s">
        <v>32</v>
      </c>
      <c r="C13" t="s">
        <v>221</v>
      </c>
    </row>
    <row r="14" spans="1:3" x14ac:dyDescent="0.35">
      <c r="A14">
        <v>17</v>
      </c>
      <c r="B14" t="s">
        <v>34</v>
      </c>
      <c r="C14" t="s">
        <v>222</v>
      </c>
    </row>
    <row r="15" spans="1:3" x14ac:dyDescent="0.35">
      <c r="A15">
        <v>18</v>
      </c>
      <c r="B15" t="s">
        <v>36</v>
      </c>
      <c r="C15" t="s">
        <v>223</v>
      </c>
    </row>
    <row r="16" spans="1:3" x14ac:dyDescent="0.35">
      <c r="A16">
        <v>19</v>
      </c>
      <c r="B16" t="s">
        <v>38</v>
      </c>
      <c r="C16" t="s">
        <v>224</v>
      </c>
    </row>
    <row r="17" spans="1:3" x14ac:dyDescent="0.35">
      <c r="A17">
        <v>20</v>
      </c>
      <c r="B17" t="s">
        <v>40</v>
      </c>
      <c r="C17" t="s">
        <v>225</v>
      </c>
    </row>
    <row r="18" spans="1:3" x14ac:dyDescent="0.35">
      <c r="A18">
        <v>21</v>
      </c>
      <c r="B18" t="s">
        <v>42</v>
      </c>
      <c r="C18" t="s">
        <v>226</v>
      </c>
    </row>
    <row r="19" spans="1:3" x14ac:dyDescent="0.35">
      <c r="A19">
        <v>22</v>
      </c>
      <c r="B19" t="s">
        <v>43</v>
      </c>
      <c r="C19" t="s">
        <v>227</v>
      </c>
    </row>
    <row r="20" spans="1:3" x14ac:dyDescent="0.35">
      <c r="A20">
        <v>23</v>
      </c>
      <c r="B20" t="s">
        <v>45</v>
      </c>
      <c r="C20" t="s">
        <v>228</v>
      </c>
    </row>
    <row r="21" spans="1:3" x14ac:dyDescent="0.35">
      <c r="A21">
        <v>24</v>
      </c>
      <c r="B21" t="s">
        <v>47</v>
      </c>
      <c r="C21" t="s">
        <v>229</v>
      </c>
    </row>
    <row r="22" spans="1:3" x14ac:dyDescent="0.35">
      <c r="A22">
        <v>25</v>
      </c>
      <c r="B22" t="s">
        <v>49</v>
      </c>
      <c r="C22" t="s">
        <v>230</v>
      </c>
    </row>
    <row r="23" spans="1:3" x14ac:dyDescent="0.35">
      <c r="A23">
        <v>26</v>
      </c>
      <c r="B23" t="s">
        <v>51</v>
      </c>
      <c r="C23" t="s">
        <v>231</v>
      </c>
    </row>
    <row r="24" spans="1:3" x14ac:dyDescent="0.35">
      <c r="A24">
        <v>27</v>
      </c>
      <c r="B24" t="s">
        <v>53</v>
      </c>
      <c r="C24" t="s">
        <v>232</v>
      </c>
    </row>
    <row r="25" spans="1:3" x14ac:dyDescent="0.35">
      <c r="A25">
        <v>28</v>
      </c>
      <c r="B25" t="s">
        <v>54</v>
      </c>
      <c r="C25" t="s">
        <v>233</v>
      </c>
    </row>
    <row r="26" spans="1:3" x14ac:dyDescent="0.35">
      <c r="A26">
        <v>29</v>
      </c>
      <c r="B26" t="s">
        <v>56</v>
      </c>
      <c r="C26" t="s">
        <v>234</v>
      </c>
    </row>
    <row r="27" spans="1:3" x14ac:dyDescent="0.35">
      <c r="A27">
        <v>33</v>
      </c>
      <c r="B27" t="s">
        <v>63</v>
      </c>
      <c r="C27" t="s">
        <v>235</v>
      </c>
    </row>
    <row r="28" spans="1:3" x14ac:dyDescent="0.35">
      <c r="A28">
        <v>37</v>
      </c>
      <c r="B28" t="s">
        <v>71</v>
      </c>
      <c r="C28" t="s">
        <v>236</v>
      </c>
    </row>
    <row r="29" spans="1:3" x14ac:dyDescent="0.35">
      <c r="A29">
        <v>40</v>
      </c>
      <c r="B29" t="s">
        <v>77</v>
      </c>
      <c r="C29" t="s">
        <v>237</v>
      </c>
    </row>
    <row r="30" spans="1:3" x14ac:dyDescent="0.35">
      <c r="A30">
        <v>44</v>
      </c>
      <c r="B30" t="s">
        <v>84</v>
      </c>
      <c r="C30" t="s">
        <v>238</v>
      </c>
    </row>
    <row r="31" spans="1:3" x14ac:dyDescent="0.35">
      <c r="A31">
        <v>45</v>
      </c>
      <c r="B31" t="s">
        <v>86</v>
      </c>
      <c r="C31" t="s">
        <v>239</v>
      </c>
    </row>
    <row r="32" spans="1:3" x14ac:dyDescent="0.35">
      <c r="A32">
        <v>49</v>
      </c>
      <c r="B32" t="s">
        <v>93</v>
      </c>
      <c r="C32" t="s">
        <v>240</v>
      </c>
    </row>
    <row r="33" spans="1:3" x14ac:dyDescent="0.35">
      <c r="A33">
        <v>51</v>
      </c>
      <c r="B33" t="s">
        <v>96</v>
      </c>
      <c r="C33" t="s">
        <v>241</v>
      </c>
    </row>
    <row r="34" spans="1:3" x14ac:dyDescent="0.35">
      <c r="A34">
        <v>52</v>
      </c>
      <c r="B34" t="s">
        <v>98</v>
      </c>
      <c r="C34" t="s">
        <v>242</v>
      </c>
    </row>
    <row r="35" spans="1:3" x14ac:dyDescent="0.35">
      <c r="A35">
        <v>53</v>
      </c>
      <c r="B35" t="s">
        <v>100</v>
      </c>
      <c r="C35" t="s">
        <v>243</v>
      </c>
    </row>
    <row r="36" spans="1:3" x14ac:dyDescent="0.35">
      <c r="A36">
        <v>54</v>
      </c>
      <c r="B36" t="s">
        <v>102</v>
      </c>
      <c r="C36" t="s">
        <v>244</v>
      </c>
    </row>
    <row r="37" spans="1:3" x14ac:dyDescent="0.35">
      <c r="A37">
        <v>55</v>
      </c>
      <c r="B37" t="s">
        <v>104</v>
      </c>
      <c r="C37" t="s">
        <v>245</v>
      </c>
    </row>
    <row r="38" spans="1:3" x14ac:dyDescent="0.35">
      <c r="A38">
        <v>56</v>
      </c>
      <c r="B38" t="s">
        <v>106</v>
      </c>
      <c r="C38" t="s">
        <v>246</v>
      </c>
    </row>
    <row r="39" spans="1:3" x14ac:dyDescent="0.35">
      <c r="A39">
        <v>57</v>
      </c>
      <c r="B39" t="s">
        <v>108</v>
      </c>
      <c r="C39" t="s">
        <v>247</v>
      </c>
    </row>
    <row r="40" spans="1:3" x14ac:dyDescent="0.35">
      <c r="A40">
        <v>58</v>
      </c>
      <c r="B40" t="s">
        <v>110</v>
      </c>
      <c r="C40" t="s">
        <v>248</v>
      </c>
    </row>
    <row r="41" spans="1:3" x14ac:dyDescent="0.35">
      <c r="A41">
        <v>60</v>
      </c>
      <c r="B41" t="s">
        <v>113</v>
      </c>
      <c r="C41" t="s">
        <v>249</v>
      </c>
    </row>
    <row r="42" spans="1:3" x14ac:dyDescent="0.35">
      <c r="A42">
        <v>63</v>
      </c>
      <c r="B42" t="s">
        <v>119</v>
      </c>
      <c r="C42" t="s">
        <v>250</v>
      </c>
    </row>
    <row r="43" spans="1:3" x14ac:dyDescent="0.35">
      <c r="A43">
        <v>64</v>
      </c>
      <c r="B43" t="s">
        <v>120</v>
      </c>
      <c r="C43" t="s">
        <v>251</v>
      </c>
    </row>
    <row r="44" spans="1:3" x14ac:dyDescent="0.35">
      <c r="A44">
        <v>65</v>
      </c>
      <c r="B44" t="s">
        <v>122</v>
      </c>
      <c r="C44" t="s">
        <v>252</v>
      </c>
    </row>
    <row r="45" spans="1:3" x14ac:dyDescent="0.35">
      <c r="A45">
        <v>82</v>
      </c>
      <c r="B45" t="s">
        <v>137</v>
      </c>
      <c r="C45" t="s">
        <v>253</v>
      </c>
    </row>
    <row r="46" spans="1:3" x14ac:dyDescent="0.35">
      <c r="A46">
        <v>83</v>
      </c>
      <c r="B46" t="s">
        <v>138</v>
      </c>
      <c r="C46" t="s">
        <v>254</v>
      </c>
    </row>
    <row r="47" spans="1:3" x14ac:dyDescent="0.35">
      <c r="A47">
        <v>84</v>
      </c>
      <c r="B47" t="s">
        <v>140</v>
      </c>
      <c r="C47" t="s">
        <v>255</v>
      </c>
    </row>
    <row r="48" spans="1:3" x14ac:dyDescent="0.35">
      <c r="A48">
        <v>90</v>
      </c>
      <c r="B48" t="s">
        <v>148</v>
      </c>
      <c r="C48" t="s">
        <v>256</v>
      </c>
    </row>
    <row r="49" spans="1:3" x14ac:dyDescent="0.35">
      <c r="A49">
        <v>96</v>
      </c>
      <c r="B49" t="s">
        <v>150</v>
      </c>
      <c r="C49" t="s">
        <v>257</v>
      </c>
    </row>
    <row r="50" spans="1:3" x14ac:dyDescent="0.35">
      <c r="A50">
        <v>102</v>
      </c>
      <c r="B50" t="s">
        <v>152</v>
      </c>
      <c r="C50" t="s">
        <v>258</v>
      </c>
    </row>
    <row r="51" spans="1:3" x14ac:dyDescent="0.35">
      <c r="A51">
        <v>108</v>
      </c>
      <c r="B51" t="s">
        <v>154</v>
      </c>
      <c r="C51" t="s">
        <v>259</v>
      </c>
    </row>
    <row r="52" spans="1:3" x14ac:dyDescent="0.35">
      <c r="A52">
        <v>120</v>
      </c>
      <c r="B52" t="s">
        <v>158</v>
      </c>
      <c r="C52" t="s">
        <v>260</v>
      </c>
    </row>
    <row r="53" spans="1:3" x14ac:dyDescent="0.35">
      <c r="A53">
        <v>123</v>
      </c>
      <c r="B53" t="s">
        <v>163</v>
      </c>
      <c r="C53" t="s">
        <v>261</v>
      </c>
    </row>
    <row r="54" spans="1:3" x14ac:dyDescent="0.35">
      <c r="A54">
        <v>140</v>
      </c>
      <c r="B54" t="s">
        <v>195</v>
      </c>
      <c r="C54" t="s">
        <v>262</v>
      </c>
    </row>
    <row r="55" spans="1:3" x14ac:dyDescent="0.35">
      <c r="A55">
        <v>141</v>
      </c>
      <c r="B55" t="s">
        <v>196</v>
      </c>
      <c r="C55" t="s">
        <v>263</v>
      </c>
    </row>
    <row r="56" spans="1:3" x14ac:dyDescent="0.35">
      <c r="A56">
        <v>142</v>
      </c>
      <c r="B56" t="s">
        <v>198</v>
      </c>
      <c r="C56" t="s">
        <v>264</v>
      </c>
    </row>
    <row r="57" spans="1:3" x14ac:dyDescent="0.35">
      <c r="A57">
        <v>143</v>
      </c>
      <c r="B57" t="s">
        <v>200</v>
      </c>
      <c r="C57" t="s">
        <v>265</v>
      </c>
    </row>
    <row r="58" spans="1:3" x14ac:dyDescent="0.35">
      <c r="A58">
        <v>147</v>
      </c>
      <c r="B58" t="s">
        <v>202</v>
      </c>
      <c r="C58" t="s">
        <v>266</v>
      </c>
    </row>
    <row r="59" spans="1:3" x14ac:dyDescent="0.35">
      <c r="A59">
        <v>149</v>
      </c>
      <c r="B59" t="s">
        <v>203</v>
      </c>
      <c r="C59" t="s">
        <v>267</v>
      </c>
    </row>
    <row r="60" spans="1:3" x14ac:dyDescent="0.35">
      <c r="A60">
        <v>150</v>
      </c>
      <c r="B60" t="s">
        <v>204</v>
      </c>
      <c r="C60" t="s">
        <v>268</v>
      </c>
    </row>
    <row r="61" spans="1:3" x14ac:dyDescent="0.35">
      <c r="A61">
        <v>151</v>
      </c>
      <c r="B61" t="s">
        <v>205</v>
      </c>
      <c r="C61" t="s">
        <v>269</v>
      </c>
    </row>
    <row r="62" spans="1:3" x14ac:dyDescent="0.35">
      <c r="A62">
        <v>152</v>
      </c>
      <c r="B62" t="s">
        <v>206</v>
      </c>
      <c r="C62" t="s">
        <v>270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2026-03-25T00:15:45Z</dcterms:created>
  <dcterms:modified xsi:type="dcterms:W3CDTF">2026-04-12T15:04:24Z</dcterms:modified>
</cp:coreProperties>
</file>