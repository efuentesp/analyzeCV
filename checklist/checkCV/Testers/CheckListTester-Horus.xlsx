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Testers\"/>
    </mc:Choice>
  </mc:AlternateContent>
  <xr:revisionPtr revIDLastSave="0" documentId="8_{10244C81-BE67-46CF-8558-FEABEB3AED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inCoincidenci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 l="1"/>
  <c r="E132" i="1"/>
  <c r="G131" i="1"/>
  <c r="E131" i="1"/>
  <c r="G130" i="1"/>
  <c r="G127" i="1" s="1"/>
  <c r="E130" i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1" i="1" s="1"/>
  <c r="B122" i="1" s="1"/>
  <c r="B123" i="1" s="1"/>
  <c r="B32" i="1"/>
  <c r="B31" i="1"/>
  <c r="B13" i="1"/>
  <c r="B14" i="1" s="1"/>
  <c r="E127" i="1" l="1"/>
  <c r="B15" i="1"/>
  <c r="B16" i="1" s="1"/>
  <c r="B17" i="1" s="1"/>
  <c r="B18" i="1" s="1"/>
  <c r="B19" i="1" s="1"/>
  <c r="B20" i="1" s="1"/>
  <c r="E129" i="1" l="1"/>
  <c r="E134" i="1" s="1"/>
  <c r="G129" i="1"/>
  <c r="G134" i="1" s="1"/>
</calcChain>
</file>

<file path=xl/sharedStrings.xml><?xml version="1.0" encoding="utf-8"?>
<sst xmlns="http://schemas.openxmlformats.org/spreadsheetml/2006/main" count="499" uniqueCount="248">
  <si>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</si>
  <si>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</si>
  <si>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</si>
  <si>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</si>
  <si>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</si>
  <si>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</si>
  <si>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</si>
  <si>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</si>
  <si>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</si>
  <si>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</si>
  <si>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01/04/2026</t>
  </si>
  <si>
    <t>Revisor: Nombre (IS)</t>
  </si>
  <si>
    <t>Expediente de cada participante</t>
  </si>
  <si>
    <t>Tester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</si>
  <si>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</si>
  <si>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</si>
  <si>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</si>
  <si>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</si>
  <si>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</si>
  <si>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</si>
  <si>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</si>
  <si>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Detalle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</si>
  <si>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</si>
  <si>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</si>
  <si>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Por lo pronto no se va a colocar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</si>
  <si>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</si>
  <si>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</si>
  <si>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</si>
  <si>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</si>
  <si>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</si>
  <si>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</t>
  </si>
  <si>
    <t>Se ha aplicado el autocorrector</t>
  </si>
  <si>
    <t>¿El CV presenta el título “Curriculum Vitae” centrado y con el formato tipográfico indicado?</t>
  </si>
  <si>
    <t>Curriculum Vitae</t>
  </si>
  <si>
    <t>Se indica el Titulo Curriculum Vitae en negritas y centrado</t>
  </si>
  <si>
    <t>¿El rol del CV es exactamente “Tester” y el identificador coincide con el solicitado por el cliente?</t>
  </si>
  <si>
    <t>Esta información se encuentra en los insumos proporcionados por el cliente (anexo de staff/recursos Humanos/puntos y porcentaje)</t>
  </si>
  <si>
    <t>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</si>
  <si>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</si>
  <si>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</si>
  <si>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Datos Personales</t>
  </si>
  <si>
    <t>Coincidencias en CV para: cinco años, al menos cinco años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</si>
  <si>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</si>
  <si>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</si>
  <si>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</si>
  <si>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</si>
  <si>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No se coloca esta sección por el momento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</si>
  <si>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</si>
  <si>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</si>
  <si>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</si>
  <si>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</si>
  <si>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</si>
  <si>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</si>
  <si>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</si>
  <si>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</si>
  <si>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</si>
  <si>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</si>
  <si>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</si>
  <si>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t>¿La primera sección de experiencia declara explícitamente: Al menos 2 años   de experiencia en pruebas de software de preferencia en proyectos/servicios grandes o criticos?</t>
  </si>
  <si>
    <t>Para el rol del Tester
Al menos 2 años de experiencia en pruebas de software</t>
  </si>
  <si>
    <t xml:space="preserve">
¿El CV evidencia que el candidato planifica, diseña y ejecuta pruebas para verificar el cumplimiento de los requerimientos funcionales y la liberación “sin fallas”, utilizando una matriz de pruebas/resultado (RDP- Matriz de trazabilidad) que asegure la trazabilidad (requisito → caso → resultado → evidencia) del software construido?</t>
  </si>
  <si>
    <t>Supervisar que se cumplan los requerimientos funcionales establecidos para el producto y que el mismo esté libre de fallas, por medio de la planeación y ejecución de las pruebas a través de una matriz que permita de manera particular probar el software construido (RDP).
Habilidades en:
Habilidades técnicas en metodologías de pruebas
Pensamiento Lógico
Habilidades de comunicación
Atención al detalle
Adaptabilidad y flexibilidad</t>
  </si>
  <si>
    <t>¿Ha construido Plan de Pruebas y Matriz de Trazabilidad (requisito→caso→resultado)?</t>
  </si>
  <si>
    <t>Plan + Matriz</t>
  </si>
  <si>
    <t>¿Ha elaborado Casos de prueba detallados con pasos, datos, precondiciones, postcondiciones y criterios de aceptación. ?</t>
  </si>
  <si>
    <t>Casos de prueba</t>
  </si>
  <si>
    <t>¿Ha ejecutado funcionales/integ./regresión/desempeño con reportes y métricas?</t>
  </si>
  <si>
    <t>Reportes + KPIs</t>
  </si>
  <si>
    <t>¿Ha coordinado SAST/DAST con desarrollo/seguridad hasta VoBo “cero bloqueantes/críticos/altos”?</t>
  </si>
  <si>
    <t>Reportes + VoBo</t>
  </si>
  <si>
    <t>¿Ha preparado evidencias (capturas, logs, actas) para carpetas y dictamen?</t>
  </si>
  <si>
    <t>Evidencias + check</t>
  </si>
  <si>
    <t>¿Ha soportado UAT con usuarios y registrado resultados/VoBo?</t>
  </si>
  <si>
    <t>Actas/VoBo</t>
  </si>
  <si>
    <t>¿La experiencia suma ≥2 años en  pruebas de software?</t>
  </si>
  <si>
    <t>¿La cronología de periodos laborales suma al menos los 2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</si>
  <si>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</si>
  <si>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</si>
  <si>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</si>
  <si>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</si>
  <si>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</si>
  <si>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</si>
  <si>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</si>
  <si>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</si>
  <si>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</si>
  <si>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muestra experiencia en habilidades en:
Habilidades técnicas en metodologías de pruebas
Pensamiento Lógico
Habilidades de comunicación
Atención al detalle
Adaptabilidad y flexibilidad?</t>
  </si>
  <si>
    <t>¿El CV presenta numeralia (número de casos de prueba diseñados/ejecutados, tipos de pruebas realizadas, ciclos o iteraciones completadas, cantidad de defectos detectados/corregidos, severidades manejadas, porcentaje de cobertura, herramientas de pruebas utilizadas, ambientes validados y participación en UAT) que permita contextualizar el alcance y complejidad de las actividades de pruebas que ha realizado?</t>
  </si>
  <si>
    <t>• Nº casos de prueba diseñados/ejecutados • Tipos de prueba: funcional, integración, regresión, UAT, desempeño • Nº de ciclos/iteraciones validados • Nº de defectos detectados y cerrados, incluyendo severidades (B/C/A/M/B) • % de cobertura de pruebas • Herramientas usadas (GitLab issues, matrices, SonarQube para SAST, DAST, etc.) • Ambientes validados (INT/UAT/Pre‑PROD)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</si>
  <si>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</si>
  <si>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</si>
  <si>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</si>
  <si>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</si>
  <si>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</si>
  <si>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</si>
  <si>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</si>
  <si>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</si>
  <si>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</si>
  <si>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</si>
  <si>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</si>
  <si>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</si>
  <si>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</si>
  <si>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</si>
  <si>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</si>
  <si>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</si>
  <si>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</si>
  <si>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</si>
  <si>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</si>
  <si>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</si>
  <si>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</si>
  <si>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</si>
  <si>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conocimiento comprobable en al menos uno de los siguientes temas:
SCRUM
Metodologías de pruebas. (caja blanca, negra, gris, automatizadas)
Aplicativos y técnicas de pruebas (unitarias, integración, regresión</t>
  </si>
  <si>
    <t xml:space="preserve">Conocimiento comprobable en al menos uno de los siguientes temas:
SCRUM
Metodologías de pruebas. (caja blanca, negra, gris, automatizadas)
Aplicativos y técnicas de pruebas (unitarias, integración, regresión
</t>
  </si>
  <si>
    <t>Certificaciones</t>
  </si>
  <si>
    <t>¿El candidato cuenta con los documentos que acrediten la o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</si>
  <si>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</si>
  <si>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</si>
  <si>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</si>
  <si>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</si>
  <si>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</si>
  <si>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</si>
  <si>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</si>
  <si>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</si>
  <si>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</si>
  <si>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</si>
  <si>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</si>
  <si>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</si>
  <si>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</si>
  <si>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</si>
  <si>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</si>
  <si>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SCRUM?</t>
  </si>
  <si>
    <t xml:space="preserve">SCRUM
(Conocimiento comprobable en al menos uno 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</si>
  <si>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</si>
  <si>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</si>
  <si>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</si>
  <si>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</si>
  <si>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</si>
  <si>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</si>
  <si>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Metodologías de pruebas?</t>
  </si>
  <si>
    <t>Metodologías de pruebas. (caja blanca, negra, gris, automatizadas)
(Conocimiento comprobable en al menos uno )</t>
  </si>
  <si>
    <t>¿El candidato adjunta constancia de cursos de Aplicativos y técnicas de pruebas</t>
  </si>
  <si>
    <t>Aplicativos y técnicas de pruebas (unitarias, integración, regresión
(Conocimiento comprobable en al menos uno )</t>
  </si>
  <si>
    <t>¿El candidato adjunta constancia de OTROS cursos ?</t>
  </si>
  <si>
    <t>Especificar cuál</t>
  </si>
  <si>
    <t>Domino de herramientas</t>
  </si>
  <si>
    <t>¿El CV evidencia dominio de herramientas para elaborar el Plan de Pruebas (plantilla institucional, criterios de entrada/salida, riesgos, alcance)?</t>
  </si>
  <si>
    <t>Plan de Pruebas real; plantilla institucional; criterios definidos</t>
  </si>
  <si>
    <t>¿Utiliza herramientas para construir casos de prueba detallados (pasos, datos, precondiciones, criterios de aceptación)?</t>
  </si>
  <si>
    <t>Casos de prueba documentados; plantillas oficiales</t>
  </si>
  <si>
    <t>¿Utiliza una Matriz de Trazabilidad (requisito→caso→resultado→evidencia) o RDP para seguimiento integral de pruebas?</t>
  </si>
  <si>
    <t>Matriz completa; vínculos a requisitos y resultados</t>
  </si>
  <si>
    <t>¿Utiliza herramientas para la ejecución y registro de resultados de pruebas (RPFU, planillas, sistemas de defectos)?</t>
  </si>
  <si>
    <t>Evidencia de ejecución; planilla RPFU o sistema equivalente</t>
  </si>
  <si>
    <t>¿Registra y da seguimiento a defectos en herramientas institucionales (GitLab issues, MSSAT, o equivalente)?</t>
  </si>
  <si>
    <t>Issues, estados, severidades, historial de correcciones</t>
  </si>
  <si>
    <t>¿Utiliza herramientas para la clasificación de defectos por severidad (Bloqueante, Crítica, Alta, etc.) y cierre con evidencia?</t>
  </si>
  <si>
    <t>Lista de defectos; clasificación; capturas de cierre</t>
  </si>
  <si>
    <t>¿Acredita uso de herramientas de seguridad SAST (SonarQube) para revisión de código y validación de hallazgos?</t>
  </si>
  <si>
    <t>SAST ejecutado; evidencia de remediación; VoBo</t>
  </si>
  <si>
    <t>¿Ha utilizado herramientas de pruebas de seguridad DAST para evaluar vulnerabilidades dinámicas previo a liberación?</t>
  </si>
  <si>
    <t>Reporte DAST; validación; VoBo</t>
  </si>
  <si>
    <t>¿Utiliza herramientas para validar ambientes (INT/UAT/Pre‑Prod): logs, monitoreo, trazas, verificación de despliegue?</t>
  </si>
  <si>
    <t>Capturas de logs, evidencias de validación de ambiente</t>
  </si>
  <si>
    <t>¿Ha trabajado con Monitor para verificar paquetes, estatus de despliegue o ventanas de liberación?</t>
  </si>
  <si>
    <t>Acuse “paquete recibido”, bitácora Monitor</t>
  </si>
  <si>
    <t>¿Operó herramientas de documentación colaborativa (SharePoint, OneDrive, Confluence) para almacenar y versionar artefactos de prueba?</t>
  </si>
  <si>
    <t>Historial de versiones; permisos; repos de pruebas</t>
  </si>
  <si>
    <t>¿Utiliza plantillas oficiales para evidencias de pruebas (capturas, numeración, firmas), integrándolas a carpetas mensuales?</t>
  </si>
  <si>
    <t>Evidencias completas, formato institucional; checklist</t>
  </si>
  <si>
    <t>¿Emplea herramientas para soportar UAT (listas, matrices, registro de hallazgos, VoBo del usuario)?</t>
  </si>
  <si>
    <t>Actas UAT; resultados; VoBo usuario</t>
  </si>
  <si>
    <t>¿Utiliza tableros o reportes (Excel, BI, QA dashboards) para consolidar KPIs de pruebas (casos ejecutados, defectos, cobertura)?</t>
  </si>
  <si>
    <t>Dashboard/Excel con KPIs; reportes mensuales</t>
  </si>
  <si>
    <t>¿Integra todas las evidencias de pruebas en la Carpeta mensual para dictamen (Plan, Matriz, RPFU, defectos, VoBo, SAST/DAST)?</t>
  </si>
  <si>
    <t>Carpeta del mes; checklist; acuse de entrega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</si>
  <si>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</si>
  <si>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</si>
  <si>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</si>
  <si>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</si>
  <si>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</si>
  <si>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Hasta que no se nos solicite explicitamente en la licitación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</si>
  <si>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</si>
  <si>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</si>
  <si>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</si>
  <si>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</si>
  <si>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</si>
  <si>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</si>
  <si>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</si>
  <si>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</si>
  <si>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</si>
  <si>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</si>
  <si>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</si>
  <si>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</si>
  <si>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</si>
  <si>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</si>
  <si>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</si>
  <si>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</si>
  <si>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</si>
  <si>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</si>
  <si>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</si>
  <si>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</si>
  <si>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</si>
  <si>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</si>
  <si>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</si>
  <si>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tester y el identificador coincide con el solicitado por el cliente</t>
  </si>
  <si>
    <t>la redaccion del cv es consistente sin frases inconclusas ni contradicciones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</si>
  <si>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</si>
  <si>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</si>
  <si>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</si>
  <si>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</si>
  <si>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</si>
  <si>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</si>
  <si>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</si>
  <si>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</si>
  <si>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</si>
  <si>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sastdast con desarrolloseguridad hasta vobo cero bloqueantescriticosaltos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</si>
  <si>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</si>
  <si>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</si>
  <si>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</si>
  <si>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</si>
  <si>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</si>
  <si>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</si>
  <si>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</si>
  <si>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</si>
  <si>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</si>
  <si>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</si>
  <si>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</si>
  <si>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</si>
  <si>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acreditar conocimiento comprobable en al menos uno de los siguientes temas scrum metodologias de pruebas caja blanca negra gris automatizadas aplicativos y tecnicas de pruebas unitarias integracion regresion</t>
  </si>
  <si>
    <t>certificaciones</t>
  </si>
  <si>
    <t>cursos</t>
  </si>
  <si>
    <t>el candidato adjunta constancia de cursos de metodologias de pruebas</t>
  </si>
  <si>
    <t>el candidato adjunta constancia de cursos de aplicativos y tecnicas de pruebas</t>
  </si>
  <si>
    <t>domino de herramientas</t>
  </si>
  <si>
    <t>acredita uso de herramientas de seguridad sast sonarqube para revision de codigo y validacion de hallazgos</t>
  </si>
  <si>
    <t>ha utilizado herramientas de pruebas de seguridad dast para evaluar vulnerabilidades dinamicas previo a liberacion</t>
  </si>
  <si>
    <t>utiliza herramientas para validar ambientes intuatpreprod logs monitoreo trazas verificacion de despliegue</t>
  </si>
  <si>
    <t>ha trabajado con monitor para verificar paquetes estatus de despliegue o ventanas de liberacion</t>
  </si>
  <si>
    <t>opero herramientas de documentacion colaborativa sharepoint onedrive confluence para almacenar y versionar artefactos de prueba</t>
  </si>
  <si>
    <t>utiliza plantillas oficiales para evidencias de pruebas capturas numeracion firmas integrandolas a carpetas mensuales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</si>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</sst>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  <font>
      <sz val="9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theme="0" tint="-0.249977111117893"/>
      </left>
      <right style="thin">
        <color rgb="FFA6A6A6"/>
      </right>
      <top/>
      <bottom style="thin">
        <color rgb="FFA6A6A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A6A6A6"/>
      </left>
      <right style="thin">
        <color rgb="FFA6A6A6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10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7" fillId="6" borderId="4" xfId="1" applyFont="1" applyFill="1" applyBorder="1" applyAlignment="1">
      <alignment vertical="top" wrapText="1"/>
    </xf>
    <xf numFmtId="0" fontId="7" fillId="6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12" fillId="0" borderId="8" xfId="1" applyFont="1" applyBorder="1" applyAlignment="1">
      <alignment vertical="top"/>
    </xf>
    <xf numFmtId="0" fontId="14" fillId="6" borderId="2" xfId="0" applyFont="1" applyFill="1" applyBorder="1" applyAlignment="1">
      <alignment vertical="top" wrapText="1"/>
    </xf>
    <xf numFmtId="0" fontId="14" fillId="6" borderId="4" xfId="0" applyFont="1" applyFill="1" applyBorder="1" applyAlignment="1">
      <alignment vertical="top"/>
    </xf>
    <xf numFmtId="0" fontId="9" fillId="7" borderId="9" xfId="1" applyFont="1" applyFill="1" applyBorder="1" applyAlignment="1">
      <alignment vertical="top"/>
    </xf>
    <xf numFmtId="0" fontId="9" fillId="7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9" fillId="7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7" fillId="0" borderId="10" xfId="1" applyFont="1" applyBorder="1" applyAlignment="1">
      <alignment vertical="top" wrapText="1"/>
    </xf>
    <xf numFmtId="0" fontId="1" fillId="0" borderId="0" xfId="1"/>
    <xf numFmtId="0" fontId="8" fillId="0" borderId="0" xfId="1" applyFont="1"/>
    <xf numFmtId="0" fontId="7" fillId="6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7" fillId="0" borderId="3" xfId="0" applyFont="1" applyBorder="1" applyAlignment="1">
      <alignment vertical="center" wrapText="1"/>
    </xf>
    <xf numFmtId="0" fontId="4" fillId="3" borderId="9" xfId="1" applyFont="1" applyFill="1" applyBorder="1" applyAlignment="1">
      <alignment vertical="top"/>
    </xf>
    <xf numFmtId="0" fontId="7" fillId="6" borderId="4" xfId="0" applyFont="1" applyFill="1" applyBorder="1" applyAlignment="1">
      <alignment horizontal="left" vertical="top" wrapText="1" indent="2"/>
    </xf>
    <xf numFmtId="0" fontId="7" fillId="10" borderId="16" xfId="0" applyFont="1" applyFill="1" applyBorder="1" applyAlignment="1">
      <alignment vertical="top" wrapText="1"/>
    </xf>
    <xf numFmtId="0" fontId="7" fillId="10" borderId="17" xfId="0" applyFont="1" applyFill="1" applyBorder="1" applyAlignment="1">
      <alignment vertical="top" wrapText="1"/>
    </xf>
    <xf numFmtId="0" fontId="2" fillId="11" borderId="11" xfId="0" applyFont="1" applyFill="1" applyBorder="1" applyAlignment="1">
      <alignment vertical="center"/>
    </xf>
    <xf numFmtId="0" fontId="7" fillId="10" borderId="14" xfId="0" applyFont="1" applyFill="1" applyBorder="1" applyAlignment="1">
      <alignment vertical="top" wrapText="1"/>
    </xf>
    <xf numFmtId="0" fontId="4" fillId="10" borderId="16" xfId="0" applyFont="1" applyFill="1" applyBorder="1" applyAlignment="1">
      <alignment horizontal="center" vertical="top" wrapText="1"/>
    </xf>
    <xf numFmtId="0" fontId="7" fillId="10" borderId="17" xfId="0" applyFont="1" applyFill="1" applyBorder="1" applyAlignment="1">
      <alignment horizontal="center" vertical="top" wrapText="1"/>
    </xf>
    <xf numFmtId="0" fontId="7" fillId="10" borderId="15" xfId="0" applyFont="1" applyFill="1" applyBorder="1" applyAlignment="1">
      <alignment vertical="top" wrapText="1"/>
    </xf>
    <xf numFmtId="0" fontId="7" fillId="10" borderId="15" xfId="0" applyFont="1" applyFill="1" applyBorder="1" applyAlignment="1">
      <alignment horizontal="left" vertical="top" wrapText="1"/>
    </xf>
    <xf numFmtId="0" fontId="2" fillId="8" borderId="3" xfId="1" applyFont="1" applyFill="1" applyBorder="1" applyAlignment="1">
      <alignment vertical="center"/>
    </xf>
    <xf numFmtId="0" fontId="2" fillId="9" borderId="11" xfId="0" applyFont="1" applyFill="1" applyBorder="1" applyAlignment="1">
      <alignment vertical="center"/>
    </xf>
    <xf numFmtId="0" fontId="19" fillId="10" borderId="14" xfId="0" applyFont="1" applyFill="1" applyBorder="1" applyAlignment="1">
      <alignment vertical="top"/>
    </xf>
    <xf numFmtId="0" fontId="19" fillId="10" borderId="14" xfId="0" applyFont="1" applyFill="1" applyBorder="1" applyAlignment="1">
      <alignment vertical="top" wrapText="1"/>
    </xf>
    <xf numFmtId="0" fontId="19" fillId="0" borderId="12" xfId="0" applyFont="1" applyBorder="1" applyAlignment="1">
      <alignment vertical="center" wrapText="1"/>
    </xf>
    <xf numFmtId="0" fontId="19" fillId="0" borderId="19" xfId="0" applyFont="1" applyBorder="1" applyAlignment="1">
      <alignment horizontal="left" vertical="center" wrapText="1" indent="2"/>
    </xf>
    <xf numFmtId="0" fontId="19" fillId="0" borderId="19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7" fillId="0" borderId="15" xfId="0" applyFont="1" applyBorder="1" applyAlignment="1">
      <alignment vertical="top" wrapText="1"/>
    </xf>
    <xf numFmtId="0" fontId="19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6" xfId="0" applyFont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2" fillId="11" borderId="11" xfId="1" applyFont="1" applyFill="1" applyBorder="1" applyAlignment="1">
      <alignment vertical="center"/>
    </xf>
    <xf numFmtId="0" fontId="14" fillId="12" borderId="4" xfId="0" applyFont="1" applyFill="1" applyBorder="1" applyAlignment="1">
      <alignment vertical="top" wrapText="1"/>
    </xf>
    <xf numFmtId="0" fontId="4" fillId="12" borderId="4" xfId="1" applyFont="1" applyFill="1" applyBorder="1" applyAlignment="1">
      <alignment vertical="top" wrapText="1"/>
    </xf>
    <xf numFmtId="0" fontId="14" fillId="12" borderId="4" xfId="0" applyFont="1" applyFill="1" applyBorder="1" applyAlignment="1">
      <alignment horizontal="left" vertical="top" wrapText="1" indent="2"/>
    </xf>
    <xf numFmtId="0" fontId="7" fillId="6" borderId="4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vertical="center" wrapText="1"/>
    </xf>
    <xf numFmtId="0" fontId="14" fillId="6" borderId="4" xfId="0" applyFont="1" applyFill="1" applyBorder="1" applyAlignment="1">
      <alignment horizontal="left" vertical="top"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2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7" fillId="10" borderId="21" xfId="0" applyFont="1" applyFill="1" applyBorder="1" applyAlignment="1">
      <alignment vertical="top" wrapText="1"/>
    </xf>
    <xf numFmtId="0" fontId="0" fillId="0" borderId="18" xfId="0" applyBorder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873125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5" y="400050"/>
          <a:ext cx="838200" cy="48398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149394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494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144614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463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4"/>
  <sheetViews>
    <sheetView tabSelected="1" topLeftCell="B49" workbookViewId="0">
      <selection activeCell="F109" sqref="F109:F114"/>
    </sheetView>
  </sheetViews>
  <sheetFormatPr defaultColWidth="9.1796875" defaultRowHeight="14" x14ac:dyDescent="0.25"/>
  <cols>
    <col min="1" max="1" width="9.1796875" style="2" customWidth="1"/>
    <col min="2" max="2" width="8.08984375" style="1" bestFit="1" customWidth="1"/>
    <col min="3" max="3" width="58.36328125" style="49" customWidth="1"/>
    <col min="4" max="4" width="57" style="50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99" t="s">
        <v>0</v>
      </c>
      <c r="D1" s="95"/>
      <c r="E1" s="100"/>
      <c r="F1" s="9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92" t="s">
        <v>4</v>
      </c>
      <c r="F3" s="93"/>
      <c r="G3" s="90"/>
      <c r="H3" s="91"/>
      <c r="AC3" s="2" t="s">
        <v>5</v>
      </c>
    </row>
    <row r="4" spans="2:29" ht="14.5" x14ac:dyDescent="0.35">
      <c r="C4" s="6" t="s">
        <v>6</v>
      </c>
      <c r="D4" s="8"/>
      <c r="E4" s="92" t="s">
        <v>7</v>
      </c>
      <c r="F4" s="93"/>
      <c r="G4" s="90"/>
      <c r="H4" s="9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94" t="s">
        <v>8</v>
      </c>
      <c r="D6" s="95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96"/>
      <c r="D7" s="95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 t="s">
        <v>21</v>
      </c>
      <c r="E10" s="21"/>
      <c r="F10" s="21"/>
      <c r="G10" s="21"/>
      <c r="H10" s="21"/>
    </row>
    <row r="11" spans="2:29" ht="60.5" customHeight="1" x14ac:dyDescent="0.25">
      <c r="B11" s="67">
        <v>1</v>
      </c>
      <c r="C11" s="22" t="s">
        <v>22</v>
      </c>
      <c r="D11" s="23" t="s">
        <v>23</v>
      </c>
      <c r="E11" s="24" t="s">
        <v>5</v>
      </c>
      <c r="F11" s="25" t="s">
        <v>24</v>
      </c>
      <c r="G11" s="24"/>
      <c r="H11" s="25"/>
    </row>
    <row r="12" spans="2:29" ht="28" customHeight="1" x14ac:dyDescent="0.25">
      <c r="B12" s="61">
        <v>2</v>
      </c>
      <c r="C12" s="62" t="s">
        <v>25</v>
      </c>
      <c r="D12" s="62" t="s">
        <v>26</v>
      </c>
      <c r="E12" s="24" t="s">
        <v>1</v>
      </c>
      <c r="F12" s="25"/>
      <c r="G12" s="24"/>
      <c r="H12" s="25"/>
    </row>
    <row r="13" spans="2:29" ht="28" customHeight="1" x14ac:dyDescent="0.25">
      <c r="B13" s="61">
        <f t="shared" ref="B13:B20" si="0">B12+1</f>
        <v>3</v>
      </c>
      <c r="C13" s="62" t="s">
        <v>27</v>
      </c>
      <c r="D13" s="62" t="s">
        <v>28</v>
      </c>
      <c r="E13" s="24" t="s">
        <v>1</v>
      </c>
      <c r="F13" s="25"/>
      <c r="G13" s="24"/>
      <c r="H13" s="25"/>
    </row>
    <row r="14" spans="2:29" ht="14" customHeight="1" x14ac:dyDescent="0.25">
      <c r="B14" s="61">
        <f t="shared" si="0"/>
        <v>4</v>
      </c>
      <c r="C14" s="97" t="s">
        <v>29</v>
      </c>
      <c r="D14" s="59" t="s">
        <v>30</v>
      </c>
      <c r="E14" s="24" t="s">
        <v>1</v>
      </c>
      <c r="F14" s="25"/>
      <c r="G14" s="24"/>
      <c r="H14" s="25"/>
    </row>
    <row r="15" spans="2:29" x14ac:dyDescent="0.25">
      <c r="B15" s="61">
        <f t="shared" si="0"/>
        <v>5</v>
      </c>
      <c r="C15" s="98"/>
      <c r="D15" s="60" t="s">
        <v>31</v>
      </c>
      <c r="E15" s="24" t="s">
        <v>1</v>
      </c>
      <c r="F15" s="25"/>
      <c r="G15" s="24"/>
      <c r="H15" s="25"/>
    </row>
    <row r="16" spans="2:29" ht="14" customHeight="1" x14ac:dyDescent="0.25">
      <c r="B16" s="61">
        <f t="shared" si="0"/>
        <v>6</v>
      </c>
      <c r="C16" s="97" t="s">
        <v>32</v>
      </c>
      <c r="D16" s="63" t="s">
        <v>33</v>
      </c>
      <c r="E16" s="24" t="s">
        <v>1</v>
      </c>
      <c r="F16" s="25"/>
      <c r="G16" s="24"/>
      <c r="H16" s="25"/>
    </row>
    <row r="17" spans="2:8" x14ac:dyDescent="0.25">
      <c r="B17" s="61">
        <f t="shared" si="0"/>
        <v>7</v>
      </c>
      <c r="C17" s="98"/>
      <c r="D17" s="64" t="s">
        <v>34</v>
      </c>
      <c r="E17" s="24" t="s">
        <v>1</v>
      </c>
      <c r="F17" s="25"/>
      <c r="G17" s="24"/>
      <c r="H17" s="25"/>
    </row>
    <row r="18" spans="2:8" ht="14" customHeight="1" x14ac:dyDescent="0.25">
      <c r="B18" s="61">
        <f t="shared" si="0"/>
        <v>8</v>
      </c>
      <c r="C18" s="97" t="s">
        <v>35</v>
      </c>
      <c r="D18" s="59" t="s">
        <v>36</v>
      </c>
      <c r="E18" s="24" t="s">
        <v>1</v>
      </c>
      <c r="F18" s="25"/>
      <c r="G18" s="24"/>
      <c r="H18" s="25"/>
    </row>
    <row r="19" spans="2:8" x14ac:dyDescent="0.25">
      <c r="B19" s="61">
        <f t="shared" si="0"/>
        <v>9</v>
      </c>
      <c r="C19" s="98"/>
      <c r="D19" s="60" t="s">
        <v>37</v>
      </c>
      <c r="E19" s="24" t="s">
        <v>1</v>
      </c>
      <c r="F19" s="25"/>
      <c r="G19" s="24"/>
      <c r="H19" s="25"/>
    </row>
    <row r="20" spans="2:8" x14ac:dyDescent="0.25">
      <c r="B20" s="61">
        <f t="shared" si="0"/>
        <v>10</v>
      </c>
      <c r="C20" s="62" t="s">
        <v>38</v>
      </c>
      <c r="D20" s="66" t="s">
        <v>39</v>
      </c>
      <c r="E20" s="24" t="s">
        <v>1</v>
      </c>
      <c r="F20" s="25"/>
      <c r="G20" s="24"/>
      <c r="H20" s="25"/>
    </row>
    <row r="21" spans="2:8" x14ac:dyDescent="0.25">
      <c r="B21" s="19" t="s">
        <v>19</v>
      </c>
      <c r="C21" s="20" t="s">
        <v>40</v>
      </c>
      <c r="D21" s="11" t="s">
        <v>21</v>
      </c>
      <c r="E21" s="27" t="s">
        <v>1</v>
      </c>
      <c r="F21" s="27" t="s">
        <v>41</v>
      </c>
      <c r="G21" s="27"/>
      <c r="H21" s="27"/>
    </row>
    <row r="22" spans="2:8" ht="35" customHeight="1" x14ac:dyDescent="0.25">
      <c r="B22" s="61">
        <v>11</v>
      </c>
      <c r="C22" s="22" t="s">
        <v>42</v>
      </c>
      <c r="D22" s="28" t="s">
        <v>43</v>
      </c>
      <c r="E22" s="24" t="s">
        <v>1</v>
      </c>
      <c r="F22" s="25"/>
      <c r="G22" s="24"/>
      <c r="H22" s="25"/>
    </row>
    <row r="23" spans="2:8" x14ac:dyDescent="0.25">
      <c r="B23" s="68">
        <v>12</v>
      </c>
      <c r="C23" s="69" t="s">
        <v>44</v>
      </c>
      <c r="D23" s="65" t="s">
        <v>45</v>
      </c>
      <c r="E23" s="24" t="s">
        <v>5</v>
      </c>
      <c r="F23" s="25" t="s">
        <v>46</v>
      </c>
      <c r="G23" s="24"/>
      <c r="H23" s="25"/>
    </row>
    <row r="24" spans="2:8" ht="28" customHeight="1" x14ac:dyDescent="0.25">
      <c r="B24" s="68">
        <v>13</v>
      </c>
      <c r="C24" s="70" t="s">
        <v>47</v>
      </c>
      <c r="D24" s="65" t="s">
        <v>48</v>
      </c>
      <c r="E24" s="24" t="s">
        <v>5</v>
      </c>
      <c r="F24" s="25" t="s">
        <v>46</v>
      </c>
      <c r="G24" s="24"/>
      <c r="H24" s="25"/>
    </row>
    <row r="25" spans="2:8" x14ac:dyDescent="0.25">
      <c r="B25" s="68">
        <v>14</v>
      </c>
      <c r="C25" s="69" t="s">
        <v>49</v>
      </c>
      <c r="D25" s="65" t="s">
        <v>50</v>
      </c>
      <c r="E25" s="24" t="s">
        <v>5</v>
      </c>
      <c r="F25" s="25" t="s">
        <v>46</v>
      </c>
      <c r="G25" s="24"/>
      <c r="H25" s="25"/>
    </row>
    <row r="26" spans="2:8" x14ac:dyDescent="0.25">
      <c r="B26" s="68">
        <v>15</v>
      </c>
      <c r="C26" s="69" t="s">
        <v>51</v>
      </c>
      <c r="D26" s="65" t="s">
        <v>52</v>
      </c>
      <c r="E26" s="24" t="s">
        <v>5</v>
      </c>
      <c r="F26" s="25" t="s">
        <v>46</v>
      </c>
      <c r="G26" s="24"/>
      <c r="H26" s="25"/>
    </row>
    <row r="27" spans="2:8" x14ac:dyDescent="0.25">
      <c r="B27" s="68">
        <v>16</v>
      </c>
      <c r="C27" s="69" t="s">
        <v>53</v>
      </c>
      <c r="D27" s="65" t="s">
        <v>52</v>
      </c>
      <c r="E27" s="24" t="s">
        <v>5</v>
      </c>
      <c r="F27" s="25" t="s">
        <v>46</v>
      </c>
      <c r="G27" s="24"/>
      <c r="H27" s="25"/>
    </row>
    <row r="28" spans="2:8" ht="15" customHeight="1" x14ac:dyDescent="0.25">
      <c r="B28" s="19" t="s">
        <v>19</v>
      </c>
      <c r="C28" s="20" t="s">
        <v>54</v>
      </c>
      <c r="D28" s="11"/>
      <c r="E28" s="27" t="s">
        <v>1</v>
      </c>
      <c r="F28" s="27" t="s">
        <v>55</v>
      </c>
      <c r="G28" s="27"/>
      <c r="H28" s="27"/>
    </row>
    <row r="29" spans="2:8" ht="15" customHeight="1" x14ac:dyDescent="0.25">
      <c r="B29" s="19" t="s">
        <v>56</v>
      </c>
      <c r="C29" s="30" t="s">
        <v>57</v>
      </c>
      <c r="D29" s="31"/>
      <c r="E29" s="27" t="s">
        <v>1</v>
      </c>
      <c r="F29" s="27" t="s">
        <v>55</v>
      </c>
      <c r="G29" s="27"/>
      <c r="H29" s="27"/>
    </row>
    <row r="30" spans="2:8" ht="40.5" customHeight="1" x14ac:dyDescent="0.25">
      <c r="B30" s="19">
        <v>17</v>
      </c>
      <c r="C30" s="32" t="s">
        <v>58</v>
      </c>
      <c r="D30" s="33" t="s">
        <v>59</v>
      </c>
      <c r="E30" s="24" t="s">
        <v>1</v>
      </c>
      <c r="F30" s="25"/>
      <c r="G30" s="24"/>
      <c r="H30" s="25"/>
    </row>
    <row r="31" spans="2:8" ht="140.5" customHeight="1" x14ac:dyDescent="0.25">
      <c r="B31" s="19">
        <f t="shared" ref="B31:B45" si="1">B30+1</f>
        <v>18</v>
      </c>
      <c r="C31" s="32" t="s">
        <v>60</v>
      </c>
      <c r="D31" s="33" t="s">
        <v>61</v>
      </c>
      <c r="E31" s="24" t="s">
        <v>1</v>
      </c>
      <c r="F31" s="25"/>
      <c r="G31" s="24"/>
      <c r="H31" s="25"/>
    </row>
    <row r="32" spans="2:8" ht="56" customHeight="1" thickBot="1" x14ac:dyDescent="0.3">
      <c r="B32" s="19">
        <f t="shared" si="1"/>
        <v>19</v>
      </c>
      <c r="C32" s="72" t="s">
        <v>62</v>
      </c>
      <c r="D32" s="73" t="s">
        <v>63</v>
      </c>
      <c r="E32" s="24" t="s">
        <v>1</v>
      </c>
      <c r="F32" s="25"/>
      <c r="G32" s="24"/>
      <c r="H32" s="25"/>
    </row>
    <row r="33" spans="2:8" ht="28.5" customHeight="1" thickBot="1" x14ac:dyDescent="0.3">
      <c r="B33" s="19">
        <f t="shared" si="1"/>
        <v>20</v>
      </c>
      <c r="C33" s="72" t="s">
        <v>64</v>
      </c>
      <c r="D33" s="73" t="s">
        <v>65</v>
      </c>
      <c r="E33" s="24" t="s">
        <v>1</v>
      </c>
      <c r="F33" s="25"/>
      <c r="G33" s="24"/>
      <c r="H33" s="25"/>
    </row>
    <row r="34" spans="2:8" ht="28.5" customHeight="1" thickBot="1" x14ac:dyDescent="0.3">
      <c r="B34" s="19">
        <f t="shared" si="1"/>
        <v>21</v>
      </c>
      <c r="C34" s="72" t="s">
        <v>66</v>
      </c>
      <c r="D34" s="73" t="s">
        <v>67</v>
      </c>
      <c r="E34" s="24" t="s">
        <v>1</v>
      </c>
      <c r="F34" s="25"/>
      <c r="G34" s="24"/>
      <c r="H34" s="25"/>
    </row>
    <row r="35" spans="2:8" ht="28.5" customHeight="1" thickBot="1" x14ac:dyDescent="0.3">
      <c r="B35" s="67">
        <f t="shared" si="1"/>
        <v>22</v>
      </c>
      <c r="C35" s="72" t="s">
        <v>68</v>
      </c>
      <c r="D35" s="73" t="s">
        <v>69</v>
      </c>
      <c r="E35" s="24" t="s">
        <v>5</v>
      </c>
      <c r="F35" s="25"/>
      <c r="G35" s="24"/>
      <c r="H35" s="25"/>
    </row>
    <row r="36" spans="2:8" ht="28.5" customHeight="1" thickBot="1" x14ac:dyDescent="0.3">
      <c r="B36" s="19">
        <f t="shared" si="1"/>
        <v>23</v>
      </c>
      <c r="C36" s="72" t="s">
        <v>70</v>
      </c>
      <c r="D36" s="73" t="s">
        <v>71</v>
      </c>
      <c r="E36" s="24" t="s">
        <v>1</v>
      </c>
      <c r="F36" s="25"/>
      <c r="G36" s="24"/>
      <c r="H36" s="25"/>
    </row>
    <row r="37" spans="2:8" ht="14.5" customHeight="1" thickBot="1" x14ac:dyDescent="0.3">
      <c r="B37" s="19">
        <f t="shared" si="1"/>
        <v>24</v>
      </c>
      <c r="C37" s="72" t="s">
        <v>72</v>
      </c>
      <c r="D37" s="73" t="s">
        <v>73</v>
      </c>
      <c r="E37" s="24" t="s">
        <v>1</v>
      </c>
      <c r="F37" s="25"/>
      <c r="G37" s="24"/>
      <c r="H37" s="25"/>
    </row>
    <row r="38" spans="2:8" x14ac:dyDescent="0.25">
      <c r="B38" s="19">
        <f t="shared" si="1"/>
        <v>25</v>
      </c>
      <c r="C38" s="74" t="s">
        <v>74</v>
      </c>
      <c r="D38" s="75"/>
      <c r="E38" s="24" t="s">
        <v>1</v>
      </c>
      <c r="F38" s="25"/>
      <c r="G38" s="24"/>
      <c r="H38" s="25"/>
    </row>
    <row r="39" spans="2:8" x14ac:dyDescent="0.25">
      <c r="B39" s="19">
        <f t="shared" si="1"/>
        <v>26</v>
      </c>
      <c r="C39" s="74" t="s">
        <v>75</v>
      </c>
      <c r="D39" s="77" t="s">
        <v>76</v>
      </c>
      <c r="E39" s="24" t="s">
        <v>1</v>
      </c>
      <c r="F39" s="25"/>
      <c r="G39" s="24"/>
      <c r="H39" s="25"/>
    </row>
    <row r="40" spans="2:8" ht="42" customHeight="1" x14ac:dyDescent="0.25">
      <c r="B40" s="19">
        <f t="shared" si="1"/>
        <v>27</v>
      </c>
      <c r="C40" s="74" t="s">
        <v>77</v>
      </c>
      <c r="D40" s="78" t="s">
        <v>78</v>
      </c>
      <c r="E40" s="24" t="s">
        <v>1</v>
      </c>
      <c r="F40" s="25"/>
      <c r="G40" s="24"/>
      <c r="H40" s="25"/>
    </row>
    <row r="41" spans="2:8" ht="14" customHeight="1" x14ac:dyDescent="0.25">
      <c r="B41" s="67">
        <f t="shared" si="1"/>
        <v>28</v>
      </c>
      <c r="C41" s="74" t="s">
        <v>79</v>
      </c>
      <c r="D41" s="75" t="s">
        <v>80</v>
      </c>
      <c r="E41" s="24" t="s">
        <v>5</v>
      </c>
      <c r="F41" s="25"/>
      <c r="G41" s="24"/>
      <c r="H41" s="25"/>
    </row>
    <row r="42" spans="2:8" ht="28" customHeight="1" x14ac:dyDescent="0.25">
      <c r="B42" s="67">
        <f t="shared" si="1"/>
        <v>29</v>
      </c>
      <c r="C42" s="74" t="s">
        <v>81</v>
      </c>
      <c r="D42" s="75" t="s">
        <v>82</v>
      </c>
      <c r="E42" s="24" t="s">
        <v>5</v>
      </c>
      <c r="F42" s="25"/>
      <c r="G42" s="24"/>
      <c r="H42" s="25"/>
    </row>
    <row r="43" spans="2:8" ht="15" customHeight="1" x14ac:dyDescent="0.25">
      <c r="B43" s="19">
        <f t="shared" si="1"/>
        <v>30</v>
      </c>
      <c r="C43" s="74" t="s">
        <v>83</v>
      </c>
      <c r="D43" s="75" t="s">
        <v>84</v>
      </c>
      <c r="E43" s="24" t="s">
        <v>1</v>
      </c>
      <c r="F43" s="25"/>
      <c r="G43" s="24"/>
      <c r="H43" s="25"/>
    </row>
    <row r="44" spans="2:8" ht="82" customHeight="1" x14ac:dyDescent="0.25">
      <c r="B44" s="19">
        <f t="shared" si="1"/>
        <v>31</v>
      </c>
      <c r="C44" s="71" t="s">
        <v>85</v>
      </c>
      <c r="D44" s="79"/>
      <c r="E44" s="24" t="s">
        <v>1</v>
      </c>
      <c r="F44" s="25"/>
      <c r="G44" s="24"/>
      <c r="H44" s="25"/>
    </row>
    <row r="45" spans="2:8" ht="84" customHeight="1" x14ac:dyDescent="0.25">
      <c r="B45" s="19">
        <f t="shared" si="1"/>
        <v>32</v>
      </c>
      <c r="C45" s="76" t="s">
        <v>86</v>
      </c>
      <c r="D45" s="80" t="s">
        <v>87</v>
      </c>
      <c r="E45" s="24" t="s">
        <v>2</v>
      </c>
      <c r="F45" s="25"/>
      <c r="G45" s="24"/>
      <c r="H45" s="25"/>
    </row>
    <row r="46" spans="2:8" ht="15" customHeight="1" x14ac:dyDescent="0.25">
      <c r="B46" s="19" t="s">
        <v>56</v>
      </c>
      <c r="C46" s="34" t="s">
        <v>88</v>
      </c>
      <c r="D46" s="31"/>
      <c r="E46" s="27" t="s">
        <v>1</v>
      </c>
      <c r="F46" s="27" t="s">
        <v>55</v>
      </c>
      <c r="G46" s="27"/>
      <c r="H46" s="27"/>
    </row>
    <row r="47" spans="2:8" ht="42" customHeight="1" x14ac:dyDescent="0.25">
      <c r="B47" s="19">
        <f>B45+1</f>
        <v>33</v>
      </c>
      <c r="C47" s="32" t="s">
        <v>89</v>
      </c>
      <c r="D47" s="26" t="s">
        <v>90</v>
      </c>
      <c r="E47" s="24" t="s">
        <v>1</v>
      </c>
      <c r="F47" s="25"/>
      <c r="G47" s="24"/>
      <c r="H47" s="25"/>
    </row>
    <row r="48" spans="2:8" ht="28" customHeight="1" x14ac:dyDescent="0.25">
      <c r="B48" s="82">
        <f t="shared" ref="B48:B54" si="2">B47+1</f>
        <v>34</v>
      </c>
      <c r="C48" s="32" t="s">
        <v>91</v>
      </c>
      <c r="D48" s="26" t="s">
        <v>92</v>
      </c>
      <c r="E48" s="24" t="s">
        <v>1</v>
      </c>
      <c r="F48" s="25"/>
      <c r="G48" s="24"/>
      <c r="H48" s="25"/>
    </row>
    <row r="49" spans="2:8" ht="28" customHeight="1" x14ac:dyDescent="0.25">
      <c r="B49" s="82">
        <f t="shared" si="2"/>
        <v>35</v>
      </c>
      <c r="C49" s="81" t="s">
        <v>93</v>
      </c>
      <c r="D49" s="26" t="s">
        <v>94</v>
      </c>
      <c r="E49" s="24" t="s">
        <v>1</v>
      </c>
      <c r="F49" s="25"/>
      <c r="G49" s="24"/>
      <c r="H49" s="25"/>
    </row>
    <row r="50" spans="2:8" ht="28" customHeight="1" x14ac:dyDescent="0.25">
      <c r="B50" s="82">
        <f t="shared" si="2"/>
        <v>36</v>
      </c>
      <c r="C50" s="29" t="s">
        <v>95</v>
      </c>
      <c r="D50" s="26" t="s">
        <v>96</v>
      </c>
      <c r="E50" s="24" t="s">
        <v>1</v>
      </c>
      <c r="F50" s="35"/>
      <c r="G50" s="24"/>
      <c r="H50" s="25"/>
    </row>
    <row r="51" spans="2:8" x14ac:dyDescent="0.25">
      <c r="B51" s="82">
        <f t="shared" si="2"/>
        <v>37</v>
      </c>
      <c r="C51" s="36" t="s">
        <v>97</v>
      </c>
      <c r="D51" s="26" t="s">
        <v>98</v>
      </c>
      <c r="E51" s="24" t="s">
        <v>1</v>
      </c>
      <c r="F51" s="25"/>
      <c r="G51" s="24"/>
      <c r="H51" s="25"/>
    </row>
    <row r="52" spans="2:8" ht="42" customHeight="1" x14ac:dyDescent="0.25">
      <c r="B52" s="67">
        <f t="shared" si="2"/>
        <v>38</v>
      </c>
      <c r="C52" s="29" t="s">
        <v>99</v>
      </c>
      <c r="D52" s="26" t="s">
        <v>100</v>
      </c>
      <c r="E52" s="24" t="s">
        <v>5</v>
      </c>
      <c r="F52" s="25"/>
      <c r="G52" s="24"/>
      <c r="H52" s="25"/>
    </row>
    <row r="53" spans="2:8" ht="28" customHeight="1" x14ac:dyDescent="0.25">
      <c r="B53" s="67">
        <f t="shared" si="2"/>
        <v>39</v>
      </c>
      <c r="C53" s="29" t="s">
        <v>101</v>
      </c>
      <c r="D53" s="26" t="s">
        <v>102</v>
      </c>
      <c r="E53" s="24" t="s">
        <v>5</v>
      </c>
      <c r="F53" s="25"/>
      <c r="G53" s="24"/>
      <c r="H53" s="25"/>
    </row>
    <row r="54" spans="2:8" ht="70" customHeight="1" x14ac:dyDescent="0.25">
      <c r="B54" s="82">
        <f t="shared" si="2"/>
        <v>40</v>
      </c>
      <c r="C54" s="36" t="s">
        <v>103</v>
      </c>
      <c r="D54" s="26" t="s">
        <v>104</v>
      </c>
      <c r="E54" s="24" t="s">
        <v>1</v>
      </c>
      <c r="F54" s="25"/>
      <c r="G54" s="24"/>
      <c r="H54" s="25"/>
    </row>
    <row r="55" spans="2:8" ht="15" customHeight="1" x14ac:dyDescent="0.25">
      <c r="B55" s="19" t="s">
        <v>56</v>
      </c>
      <c r="C55" s="34" t="s">
        <v>105</v>
      </c>
      <c r="D55" s="31"/>
      <c r="E55" s="27" t="s">
        <v>1</v>
      </c>
      <c r="F55" s="27" t="s">
        <v>55</v>
      </c>
      <c r="G55" s="27"/>
      <c r="H55" s="27"/>
    </row>
    <row r="56" spans="2:8" ht="28" customHeight="1" x14ac:dyDescent="0.25">
      <c r="B56" s="19">
        <f>B54+1</f>
        <v>41</v>
      </c>
      <c r="C56" s="36" t="s">
        <v>106</v>
      </c>
      <c r="D56" s="26" t="s">
        <v>107</v>
      </c>
      <c r="E56" s="24" t="s">
        <v>1</v>
      </c>
      <c r="F56" s="25"/>
      <c r="G56" s="24"/>
      <c r="H56" s="25"/>
    </row>
    <row r="57" spans="2:8" ht="29" customHeight="1" x14ac:dyDescent="0.25">
      <c r="B57" s="82">
        <f>B56+1</f>
        <v>42</v>
      </c>
      <c r="C57" s="36" t="s">
        <v>108</v>
      </c>
      <c r="D57" s="26" t="s">
        <v>109</v>
      </c>
      <c r="E57" s="24" t="s">
        <v>1</v>
      </c>
      <c r="F57" s="25"/>
      <c r="G57" s="24"/>
      <c r="H57" s="25"/>
    </row>
    <row r="58" spans="2:8" ht="70" customHeight="1" x14ac:dyDescent="0.25">
      <c r="B58" s="82">
        <f>B57+1</f>
        <v>43</v>
      </c>
      <c r="C58" s="81" t="s">
        <v>110</v>
      </c>
      <c r="D58" s="26" t="s">
        <v>111</v>
      </c>
      <c r="E58" s="24" t="s">
        <v>1</v>
      </c>
      <c r="F58" s="25"/>
      <c r="G58" s="24"/>
      <c r="H58" s="25"/>
    </row>
    <row r="59" spans="2:8" x14ac:dyDescent="0.25">
      <c r="B59" s="19" t="s">
        <v>19</v>
      </c>
      <c r="C59" s="20" t="s">
        <v>112</v>
      </c>
      <c r="D59" s="11" t="s">
        <v>21</v>
      </c>
      <c r="E59" s="27" t="s">
        <v>1</v>
      </c>
      <c r="F59" s="27" t="s">
        <v>55</v>
      </c>
      <c r="G59" s="27"/>
      <c r="H59" s="27"/>
    </row>
    <row r="60" spans="2:8" ht="98" customHeight="1" x14ac:dyDescent="0.25">
      <c r="B60" s="19">
        <f>B58+1</f>
        <v>44</v>
      </c>
      <c r="C60" s="83" t="s">
        <v>113</v>
      </c>
      <c r="D60" s="37" t="s">
        <v>114</v>
      </c>
      <c r="E60" s="24" t="s">
        <v>2</v>
      </c>
      <c r="F60" s="25"/>
      <c r="G60" s="24"/>
      <c r="H60" s="25"/>
    </row>
    <row r="61" spans="2:8" ht="28" customHeight="1" x14ac:dyDescent="0.25">
      <c r="B61" s="19">
        <f t="shared" ref="B61:B75" si="3">B60+1</f>
        <v>45</v>
      </c>
      <c r="C61" s="84" t="s">
        <v>115</v>
      </c>
      <c r="D61" s="26" t="s">
        <v>116</v>
      </c>
      <c r="E61" s="24" t="s">
        <v>2</v>
      </c>
      <c r="F61" s="25"/>
      <c r="G61" s="24"/>
      <c r="H61" s="25"/>
    </row>
    <row r="62" spans="2:8" x14ac:dyDescent="0.25">
      <c r="B62" s="19">
        <f t="shared" si="3"/>
        <v>46</v>
      </c>
      <c r="C62" s="85" t="s">
        <v>117</v>
      </c>
      <c r="D62" s="26" t="s">
        <v>118</v>
      </c>
      <c r="E62" s="24" t="s">
        <v>2</v>
      </c>
      <c r="F62" s="25"/>
      <c r="G62" s="24"/>
      <c r="H62" s="25"/>
    </row>
    <row r="63" spans="2:8" x14ac:dyDescent="0.25">
      <c r="B63" s="19">
        <f t="shared" si="3"/>
        <v>47</v>
      </c>
      <c r="C63" s="85" t="s">
        <v>119</v>
      </c>
      <c r="D63" s="26" t="s">
        <v>118</v>
      </c>
      <c r="E63" s="24" t="s">
        <v>2</v>
      </c>
      <c r="F63" s="25"/>
      <c r="G63" s="24"/>
      <c r="H63" s="25"/>
    </row>
    <row r="64" spans="2:8" ht="28" customHeight="1" x14ac:dyDescent="0.25">
      <c r="B64" s="19">
        <f t="shared" si="3"/>
        <v>48</v>
      </c>
      <c r="C64" s="85" t="s">
        <v>120</v>
      </c>
      <c r="D64" s="26" t="s">
        <v>121</v>
      </c>
      <c r="E64" s="24" t="s">
        <v>2</v>
      </c>
      <c r="F64" s="25"/>
      <c r="G64" s="24"/>
      <c r="H64" s="25"/>
    </row>
    <row r="65" spans="2:8" ht="28" customHeight="1" x14ac:dyDescent="0.25">
      <c r="B65" s="19">
        <f t="shared" si="3"/>
        <v>49</v>
      </c>
      <c r="C65" s="85" t="s">
        <v>122</v>
      </c>
      <c r="D65" s="26" t="s">
        <v>123</v>
      </c>
      <c r="E65" s="24" t="s">
        <v>2</v>
      </c>
      <c r="F65" s="25"/>
      <c r="G65" s="24"/>
      <c r="H65" s="25"/>
    </row>
    <row r="66" spans="2:8" ht="28" customHeight="1" x14ac:dyDescent="0.25">
      <c r="B66" s="67">
        <f t="shared" si="3"/>
        <v>50</v>
      </c>
      <c r="C66" s="84" t="s">
        <v>124</v>
      </c>
      <c r="D66" s="26" t="s">
        <v>116</v>
      </c>
      <c r="E66" s="24" t="s">
        <v>5</v>
      </c>
      <c r="F66" s="25"/>
      <c r="G66" s="24"/>
      <c r="H66" s="25"/>
    </row>
    <row r="67" spans="2:8" x14ac:dyDescent="0.25">
      <c r="B67" s="67">
        <f t="shared" si="3"/>
        <v>51</v>
      </c>
      <c r="C67" s="85" t="s">
        <v>117</v>
      </c>
      <c r="D67" s="26" t="s">
        <v>118</v>
      </c>
      <c r="E67" s="24" t="s">
        <v>5</v>
      </c>
      <c r="F67" s="25"/>
      <c r="G67" s="24"/>
      <c r="H67" s="25"/>
    </row>
    <row r="68" spans="2:8" x14ac:dyDescent="0.25">
      <c r="B68" s="67">
        <f t="shared" si="3"/>
        <v>52</v>
      </c>
      <c r="C68" s="85" t="s">
        <v>119</v>
      </c>
      <c r="D68" s="26" t="s">
        <v>118</v>
      </c>
      <c r="E68" s="24" t="s">
        <v>5</v>
      </c>
      <c r="F68" s="25"/>
      <c r="G68" s="24"/>
      <c r="H68" s="25"/>
    </row>
    <row r="69" spans="2:8" ht="28" customHeight="1" x14ac:dyDescent="0.25">
      <c r="B69" s="67">
        <f t="shared" si="3"/>
        <v>53</v>
      </c>
      <c r="C69" s="85" t="s">
        <v>120</v>
      </c>
      <c r="D69" s="26" t="s">
        <v>121</v>
      </c>
      <c r="E69" s="24" t="s">
        <v>5</v>
      </c>
      <c r="F69" s="25"/>
      <c r="G69" s="24"/>
      <c r="H69" s="25"/>
    </row>
    <row r="70" spans="2:8" ht="28" customHeight="1" x14ac:dyDescent="0.25">
      <c r="B70" s="67">
        <f t="shared" si="3"/>
        <v>54</v>
      </c>
      <c r="C70" s="85" t="s">
        <v>122</v>
      </c>
      <c r="D70" s="26" t="s">
        <v>123</v>
      </c>
      <c r="E70" s="24" t="s">
        <v>5</v>
      </c>
      <c r="F70" s="25"/>
      <c r="G70" s="24"/>
      <c r="H70" s="25"/>
    </row>
    <row r="71" spans="2:8" ht="28" customHeight="1" x14ac:dyDescent="0.25">
      <c r="B71" s="67">
        <f t="shared" si="3"/>
        <v>55</v>
      </c>
      <c r="C71" s="84" t="s">
        <v>125</v>
      </c>
      <c r="D71" s="26" t="s">
        <v>116</v>
      </c>
      <c r="E71" s="24" t="s">
        <v>5</v>
      </c>
      <c r="F71" s="25"/>
      <c r="G71" s="24"/>
      <c r="H71" s="25"/>
    </row>
    <row r="72" spans="2:8" x14ac:dyDescent="0.25">
      <c r="B72" s="67">
        <f t="shared" si="3"/>
        <v>56</v>
      </c>
      <c r="C72" s="85" t="s">
        <v>117</v>
      </c>
      <c r="D72" s="26" t="s">
        <v>118</v>
      </c>
      <c r="E72" s="24" t="s">
        <v>5</v>
      </c>
      <c r="F72" s="25"/>
      <c r="G72" s="24"/>
      <c r="H72" s="25"/>
    </row>
    <row r="73" spans="2:8" x14ac:dyDescent="0.25">
      <c r="B73" s="67">
        <f t="shared" si="3"/>
        <v>57</v>
      </c>
      <c r="C73" s="85" t="s">
        <v>119</v>
      </c>
      <c r="D73" s="26" t="s">
        <v>118</v>
      </c>
      <c r="E73" s="24" t="s">
        <v>5</v>
      </c>
      <c r="F73" s="25"/>
      <c r="G73" s="24"/>
      <c r="H73" s="25"/>
    </row>
    <row r="74" spans="2:8" ht="28" customHeight="1" x14ac:dyDescent="0.25">
      <c r="B74" s="67">
        <f t="shared" si="3"/>
        <v>58</v>
      </c>
      <c r="C74" s="85" t="s">
        <v>120</v>
      </c>
      <c r="D74" s="26" t="s">
        <v>121</v>
      </c>
      <c r="E74" s="24" t="s">
        <v>5</v>
      </c>
      <c r="F74" s="25"/>
      <c r="G74" s="24"/>
      <c r="H74" s="25"/>
    </row>
    <row r="75" spans="2:8" ht="28" customHeight="1" x14ac:dyDescent="0.25">
      <c r="B75" s="67">
        <f t="shared" si="3"/>
        <v>59</v>
      </c>
      <c r="C75" s="85" t="s">
        <v>122</v>
      </c>
      <c r="D75" s="26" t="s">
        <v>123</v>
      </c>
      <c r="E75" s="24" t="s">
        <v>5</v>
      </c>
      <c r="F75" s="25"/>
      <c r="G75" s="24"/>
      <c r="H75" s="25"/>
    </row>
    <row r="76" spans="2:8" x14ac:dyDescent="0.25">
      <c r="B76" s="19" t="s">
        <v>19</v>
      </c>
      <c r="C76" s="57" t="s">
        <v>126</v>
      </c>
      <c r="D76" s="11" t="s">
        <v>21</v>
      </c>
      <c r="E76" s="27" t="s">
        <v>1</v>
      </c>
      <c r="F76" s="27" t="s">
        <v>55</v>
      </c>
      <c r="G76" s="27"/>
      <c r="H76" s="27"/>
    </row>
    <row r="77" spans="2:8" ht="42" customHeight="1" x14ac:dyDescent="0.25">
      <c r="B77" s="19">
        <f>B75+1</f>
        <v>60</v>
      </c>
      <c r="C77" s="86" t="s">
        <v>127</v>
      </c>
      <c r="D77" s="33" t="s">
        <v>128</v>
      </c>
      <c r="E77" s="24" t="s">
        <v>1</v>
      </c>
      <c r="F77" s="25"/>
      <c r="G77" s="24"/>
      <c r="H77" s="25"/>
    </row>
    <row r="78" spans="2:8" ht="28" customHeight="1" x14ac:dyDescent="0.25">
      <c r="B78" s="67">
        <f t="shared" ref="B78:B101" si="4">B77+1</f>
        <v>61</v>
      </c>
      <c r="C78" s="56" t="s">
        <v>129</v>
      </c>
      <c r="D78" s="26" t="s">
        <v>130</v>
      </c>
      <c r="E78" s="24" t="s">
        <v>2</v>
      </c>
      <c r="F78" s="25"/>
      <c r="G78" s="24"/>
      <c r="H78" s="25"/>
    </row>
    <row r="79" spans="2:8" x14ac:dyDescent="0.25">
      <c r="B79" s="67">
        <f t="shared" si="4"/>
        <v>62</v>
      </c>
      <c r="C79" s="58" t="s">
        <v>131</v>
      </c>
      <c r="D79" s="33" t="s">
        <v>118</v>
      </c>
      <c r="E79" s="24" t="s">
        <v>2</v>
      </c>
      <c r="F79" s="25"/>
      <c r="G79" s="24"/>
      <c r="H79" s="25"/>
    </row>
    <row r="80" spans="2:8" x14ac:dyDescent="0.25">
      <c r="B80" s="67">
        <f t="shared" si="4"/>
        <v>63</v>
      </c>
      <c r="C80" s="58" t="s">
        <v>132</v>
      </c>
      <c r="D80" s="33" t="s">
        <v>118</v>
      </c>
      <c r="E80" s="24" t="s">
        <v>2</v>
      </c>
      <c r="F80" s="25"/>
      <c r="G80" s="24"/>
      <c r="H80" s="25"/>
    </row>
    <row r="81" spans="2:29" x14ac:dyDescent="0.25">
      <c r="B81" s="67">
        <f t="shared" si="4"/>
        <v>64</v>
      </c>
      <c r="C81" s="58" t="s">
        <v>133</v>
      </c>
      <c r="D81" s="33" t="s">
        <v>98</v>
      </c>
      <c r="E81" s="24" t="s">
        <v>2</v>
      </c>
      <c r="F81" s="25"/>
      <c r="G81" s="24"/>
      <c r="H81" s="25"/>
    </row>
    <row r="82" spans="2:29" x14ac:dyDescent="0.25">
      <c r="B82" s="67">
        <f t="shared" si="4"/>
        <v>65</v>
      </c>
      <c r="C82" s="58" t="s">
        <v>134</v>
      </c>
      <c r="D82" s="33" t="s">
        <v>135</v>
      </c>
      <c r="E82" s="24" t="s">
        <v>2</v>
      </c>
      <c r="F82" s="25"/>
      <c r="G82" s="24"/>
      <c r="H82" s="25"/>
    </row>
    <row r="83" spans="2:29" ht="28" customHeight="1" x14ac:dyDescent="0.25">
      <c r="B83" s="67">
        <f t="shared" si="4"/>
        <v>66</v>
      </c>
      <c r="C83" s="58" t="s">
        <v>136</v>
      </c>
      <c r="D83" s="33"/>
      <c r="E83" s="24" t="s">
        <v>1</v>
      </c>
      <c r="F83" s="25"/>
      <c r="G83" s="24"/>
      <c r="H83" s="25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2:29" ht="28" customHeight="1" x14ac:dyDescent="0.25">
      <c r="B84" s="67">
        <f t="shared" si="4"/>
        <v>67</v>
      </c>
      <c r="C84" s="56" t="s">
        <v>137</v>
      </c>
      <c r="D84" s="26" t="s">
        <v>138</v>
      </c>
      <c r="E84" s="24" t="s">
        <v>5</v>
      </c>
      <c r="F84" s="25"/>
      <c r="G84" s="24"/>
      <c r="H84" s="25"/>
    </row>
    <row r="85" spans="2:29" x14ac:dyDescent="0.25">
      <c r="B85" s="67">
        <f t="shared" si="4"/>
        <v>68</v>
      </c>
      <c r="C85" s="58" t="s">
        <v>131</v>
      </c>
      <c r="D85" s="26" t="s">
        <v>118</v>
      </c>
      <c r="E85" s="24" t="s">
        <v>2</v>
      </c>
      <c r="F85" s="25"/>
      <c r="G85" s="24"/>
      <c r="H85" s="25"/>
    </row>
    <row r="86" spans="2:29" x14ac:dyDescent="0.25">
      <c r="B86" s="67">
        <f t="shared" si="4"/>
        <v>69</v>
      </c>
      <c r="C86" s="58" t="s">
        <v>132</v>
      </c>
      <c r="D86" s="26" t="s">
        <v>118</v>
      </c>
      <c r="E86" s="24" t="s">
        <v>2</v>
      </c>
      <c r="F86" s="25"/>
      <c r="G86" s="24"/>
      <c r="H86" s="25"/>
    </row>
    <row r="87" spans="2:29" x14ac:dyDescent="0.25">
      <c r="B87" s="67">
        <f t="shared" si="4"/>
        <v>70</v>
      </c>
      <c r="C87" s="58" t="s">
        <v>133</v>
      </c>
      <c r="D87" s="26" t="s">
        <v>98</v>
      </c>
      <c r="E87" s="24" t="s">
        <v>2</v>
      </c>
      <c r="F87" s="25"/>
      <c r="G87" s="24"/>
      <c r="H87" s="25"/>
    </row>
    <row r="88" spans="2:29" x14ac:dyDescent="0.25">
      <c r="B88" s="67">
        <f t="shared" si="4"/>
        <v>71</v>
      </c>
      <c r="C88" s="58" t="s">
        <v>134</v>
      </c>
      <c r="D88" s="26" t="s">
        <v>135</v>
      </c>
      <c r="E88" s="24" t="s">
        <v>2</v>
      </c>
      <c r="F88" s="25"/>
      <c r="G88" s="24"/>
      <c r="H88" s="25"/>
    </row>
    <row r="89" spans="2:29" ht="28" customHeight="1" x14ac:dyDescent="0.25">
      <c r="B89" s="67">
        <f t="shared" si="4"/>
        <v>72</v>
      </c>
      <c r="C89" s="58" t="s">
        <v>136</v>
      </c>
      <c r="D89" s="26"/>
      <c r="E89" s="24" t="s">
        <v>1</v>
      </c>
      <c r="F89" s="25"/>
      <c r="G89" s="24"/>
      <c r="H89" s="25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2:29" ht="28" customHeight="1" x14ac:dyDescent="0.25">
      <c r="B90" s="67">
        <f t="shared" si="4"/>
        <v>73</v>
      </c>
      <c r="C90" s="56" t="s">
        <v>139</v>
      </c>
      <c r="D90" s="26" t="s">
        <v>140</v>
      </c>
      <c r="E90" s="24" t="s">
        <v>5</v>
      </c>
      <c r="F90" s="25"/>
      <c r="G90" s="24"/>
      <c r="H90" s="25"/>
    </row>
    <row r="91" spans="2:29" x14ac:dyDescent="0.25">
      <c r="B91" s="67">
        <f t="shared" si="4"/>
        <v>74</v>
      </c>
      <c r="C91" s="58" t="s">
        <v>131</v>
      </c>
      <c r="D91" s="33" t="s">
        <v>118</v>
      </c>
      <c r="E91" s="24" t="s">
        <v>2</v>
      </c>
      <c r="F91" s="25"/>
      <c r="G91" s="24"/>
      <c r="H91" s="25"/>
    </row>
    <row r="92" spans="2:29" x14ac:dyDescent="0.25">
      <c r="B92" s="67">
        <f t="shared" si="4"/>
        <v>75</v>
      </c>
      <c r="C92" s="58" t="s">
        <v>132</v>
      </c>
      <c r="D92" s="33" t="s">
        <v>118</v>
      </c>
      <c r="E92" s="24" t="s">
        <v>2</v>
      </c>
      <c r="F92" s="25"/>
      <c r="G92" s="24"/>
      <c r="H92" s="25"/>
    </row>
    <row r="93" spans="2:29" x14ac:dyDescent="0.25">
      <c r="B93" s="67">
        <f t="shared" si="4"/>
        <v>76</v>
      </c>
      <c r="C93" s="58" t="s">
        <v>133</v>
      </c>
      <c r="D93" s="33" t="s">
        <v>98</v>
      </c>
      <c r="E93" s="24" t="s">
        <v>2</v>
      </c>
      <c r="F93" s="25"/>
      <c r="G93" s="24"/>
      <c r="H93" s="25"/>
    </row>
    <row r="94" spans="2:29" x14ac:dyDescent="0.25">
      <c r="B94" s="67">
        <f t="shared" si="4"/>
        <v>77</v>
      </c>
      <c r="C94" s="58" t="s">
        <v>134</v>
      </c>
      <c r="D94" s="33" t="s">
        <v>135</v>
      </c>
      <c r="E94" s="24" t="s">
        <v>2</v>
      </c>
      <c r="F94" s="25"/>
      <c r="G94" s="24"/>
      <c r="H94" s="25"/>
    </row>
    <row r="95" spans="2:29" ht="28" customHeight="1" x14ac:dyDescent="0.25">
      <c r="B95" s="67">
        <f t="shared" si="4"/>
        <v>78</v>
      </c>
      <c r="C95" s="58" t="s">
        <v>136</v>
      </c>
      <c r="D95" s="33"/>
      <c r="E95" s="24" t="s">
        <v>1</v>
      </c>
      <c r="F95" s="25"/>
      <c r="G95" s="24"/>
      <c r="H95" s="25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2:29" x14ac:dyDescent="0.25">
      <c r="B96" s="19">
        <f t="shared" si="4"/>
        <v>79</v>
      </c>
      <c r="C96" s="56" t="s">
        <v>141</v>
      </c>
      <c r="D96" s="26" t="s">
        <v>142</v>
      </c>
      <c r="E96" s="24" t="s">
        <v>2</v>
      </c>
      <c r="F96" s="25"/>
      <c r="G96" s="24"/>
      <c r="H96" s="25"/>
    </row>
    <row r="97" spans="2:29" x14ac:dyDescent="0.25">
      <c r="B97" s="19">
        <f t="shared" si="4"/>
        <v>80</v>
      </c>
      <c r="C97" s="58" t="s">
        <v>131</v>
      </c>
      <c r="D97" s="26" t="s">
        <v>118</v>
      </c>
      <c r="E97" s="24" t="s">
        <v>2</v>
      </c>
      <c r="F97" s="25"/>
      <c r="G97" s="24"/>
      <c r="H97" s="25"/>
    </row>
    <row r="98" spans="2:29" x14ac:dyDescent="0.25">
      <c r="B98" s="19">
        <f t="shared" si="4"/>
        <v>81</v>
      </c>
      <c r="C98" s="58" t="s">
        <v>132</v>
      </c>
      <c r="D98" s="26" t="s">
        <v>118</v>
      </c>
      <c r="E98" s="24" t="s">
        <v>2</v>
      </c>
      <c r="F98" s="25"/>
      <c r="G98" s="24"/>
      <c r="H98" s="25"/>
    </row>
    <row r="99" spans="2:29" x14ac:dyDescent="0.25">
      <c r="B99" s="19">
        <f t="shared" si="4"/>
        <v>82</v>
      </c>
      <c r="C99" s="58" t="s">
        <v>133</v>
      </c>
      <c r="D99" s="26" t="s">
        <v>98</v>
      </c>
      <c r="E99" s="24" t="s">
        <v>2</v>
      </c>
      <c r="F99" s="25"/>
      <c r="G99" s="24"/>
      <c r="H99" s="25"/>
    </row>
    <row r="100" spans="2:29" x14ac:dyDescent="0.25">
      <c r="B100" s="19">
        <f t="shared" si="4"/>
        <v>83</v>
      </c>
      <c r="C100" s="58" t="s">
        <v>134</v>
      </c>
      <c r="D100" s="26" t="s">
        <v>135</v>
      </c>
      <c r="E100" s="24" t="s">
        <v>2</v>
      </c>
      <c r="F100" s="25"/>
      <c r="G100" s="24"/>
      <c r="H100" s="25"/>
    </row>
    <row r="101" spans="2:29" ht="28" customHeight="1" x14ac:dyDescent="0.25">
      <c r="B101" s="19">
        <f t="shared" si="4"/>
        <v>84</v>
      </c>
      <c r="C101" s="58" t="s">
        <v>136</v>
      </c>
      <c r="D101" s="26"/>
      <c r="E101" s="24" t="s">
        <v>1</v>
      </c>
      <c r="F101" s="25"/>
      <c r="G101" s="24"/>
      <c r="H101" s="25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2:29" ht="14.5" customHeight="1" x14ac:dyDescent="0.25">
      <c r="B102" s="19" t="s">
        <v>19</v>
      </c>
      <c r="C102" s="20" t="s">
        <v>143</v>
      </c>
      <c r="D102" s="11" t="s">
        <v>21</v>
      </c>
      <c r="E102" s="27" t="s">
        <v>1</v>
      </c>
      <c r="F102" s="27" t="s">
        <v>55</v>
      </c>
      <c r="G102" s="27"/>
      <c r="H102" s="27"/>
    </row>
    <row r="103" spans="2:29" ht="28.5" customHeight="1" thickBot="1" x14ac:dyDescent="0.3">
      <c r="B103" s="19">
        <f>B101+1</f>
        <v>85</v>
      </c>
      <c r="C103" s="87" t="s">
        <v>144</v>
      </c>
      <c r="D103" s="88" t="s">
        <v>145</v>
      </c>
      <c r="E103" s="24" t="s">
        <v>1</v>
      </c>
      <c r="F103" s="25"/>
      <c r="G103" s="24"/>
      <c r="H103" s="24"/>
    </row>
    <row r="104" spans="2:29" ht="28.5" customHeight="1" thickBot="1" x14ac:dyDescent="0.3">
      <c r="B104" s="19">
        <f t="shared" ref="B104:B119" si="5">B103+1</f>
        <v>86</v>
      </c>
      <c r="C104" s="87" t="s">
        <v>146</v>
      </c>
      <c r="D104" s="88" t="s">
        <v>147</v>
      </c>
      <c r="E104" s="24" t="s">
        <v>1</v>
      </c>
      <c r="F104" s="25"/>
      <c r="G104" s="24"/>
      <c r="H104" s="24"/>
    </row>
    <row r="105" spans="2:29" ht="42.5" customHeight="1" thickBot="1" x14ac:dyDescent="0.3">
      <c r="B105" s="19">
        <f t="shared" si="5"/>
        <v>87</v>
      </c>
      <c r="C105" s="87" t="s">
        <v>148</v>
      </c>
      <c r="D105" s="88" t="s">
        <v>149</v>
      </c>
      <c r="E105" s="24" t="s">
        <v>1</v>
      </c>
      <c r="F105" s="25"/>
      <c r="G105" s="24"/>
      <c r="H105" s="24"/>
    </row>
    <row r="106" spans="2:29" ht="28.5" customHeight="1" thickBot="1" x14ac:dyDescent="0.3">
      <c r="B106" s="19">
        <f t="shared" si="5"/>
        <v>88</v>
      </c>
      <c r="C106" s="87" t="s">
        <v>150</v>
      </c>
      <c r="D106" s="88" t="s">
        <v>151</v>
      </c>
      <c r="E106" s="24" t="s">
        <v>1</v>
      </c>
      <c r="F106" s="25"/>
      <c r="G106" s="24"/>
      <c r="H106" s="24"/>
    </row>
    <row r="107" spans="2:29" ht="28.5" customHeight="1" thickBot="1" x14ac:dyDescent="0.3">
      <c r="B107" s="19">
        <f t="shared" si="5"/>
        <v>89</v>
      </c>
      <c r="C107" s="87" t="s">
        <v>152</v>
      </c>
      <c r="D107" s="88" t="s">
        <v>153</v>
      </c>
      <c r="E107" s="24" t="s">
        <v>1</v>
      </c>
      <c r="F107" s="25"/>
      <c r="G107" s="24"/>
      <c r="H107" s="24"/>
    </row>
    <row r="108" spans="2:29" ht="28.5" customHeight="1" thickBot="1" x14ac:dyDescent="0.3">
      <c r="B108" s="19">
        <f t="shared" si="5"/>
        <v>90</v>
      </c>
      <c r="C108" s="87" t="s">
        <v>154</v>
      </c>
      <c r="D108" s="88" t="s">
        <v>155</v>
      </c>
      <c r="E108" s="24" t="s">
        <v>2</v>
      </c>
      <c r="F108" s="25"/>
      <c r="G108" s="24"/>
      <c r="H108" s="24"/>
    </row>
    <row r="109" spans="2:29" ht="28.5" customHeight="1" thickBot="1" x14ac:dyDescent="0.3">
      <c r="B109" s="67">
        <f t="shared" si="5"/>
        <v>91</v>
      </c>
      <c r="C109" s="87" t="s">
        <v>156</v>
      </c>
      <c r="D109" s="88" t="s">
        <v>157</v>
      </c>
      <c r="E109" s="24" t="s">
        <v>5</v>
      </c>
      <c r="F109" s="25"/>
      <c r="G109" s="24"/>
      <c r="H109" s="24"/>
    </row>
    <row r="110" spans="2:29" ht="44" customHeight="1" thickBot="1" x14ac:dyDescent="0.3">
      <c r="B110" s="67">
        <f t="shared" si="5"/>
        <v>92</v>
      </c>
      <c r="C110" s="87" t="s">
        <v>158</v>
      </c>
      <c r="D110" s="88" t="s">
        <v>159</v>
      </c>
      <c r="E110" s="24" t="s">
        <v>5</v>
      </c>
      <c r="F110" s="25"/>
      <c r="G110" s="24"/>
      <c r="H110" s="25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2:29" ht="44" customHeight="1" thickBot="1" x14ac:dyDescent="0.3">
      <c r="B111" s="67">
        <f t="shared" si="5"/>
        <v>93</v>
      </c>
      <c r="C111" s="87" t="s">
        <v>160</v>
      </c>
      <c r="D111" s="88" t="s">
        <v>161</v>
      </c>
      <c r="E111" s="24" t="s">
        <v>5</v>
      </c>
      <c r="F111" s="25"/>
      <c r="G111" s="24"/>
      <c r="H111" s="25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2:29" ht="44" customHeight="1" thickBot="1" x14ac:dyDescent="0.3">
      <c r="B112" s="67">
        <f t="shared" si="5"/>
        <v>94</v>
      </c>
      <c r="C112" s="87" t="s">
        <v>162</v>
      </c>
      <c r="D112" s="88" t="s">
        <v>163</v>
      </c>
      <c r="E112" s="24" t="s">
        <v>5</v>
      </c>
      <c r="F112" s="25"/>
      <c r="G112" s="24"/>
      <c r="H112" s="25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44" customHeight="1" thickBot="1" x14ac:dyDescent="0.3">
      <c r="B113" s="67">
        <f t="shared" si="5"/>
        <v>95</v>
      </c>
      <c r="C113" s="87" t="s">
        <v>164</v>
      </c>
      <c r="D113" s="88" t="s">
        <v>165</v>
      </c>
      <c r="E113" s="24" t="s">
        <v>5</v>
      </c>
      <c r="F113" s="25"/>
      <c r="G113" s="24"/>
      <c r="H113" s="25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44" customHeight="1" thickBot="1" x14ac:dyDescent="0.3">
      <c r="B114" s="67">
        <f t="shared" si="5"/>
        <v>96</v>
      </c>
      <c r="C114" s="87" t="s">
        <v>166</v>
      </c>
      <c r="D114" s="88" t="s">
        <v>167</v>
      </c>
      <c r="E114" s="24" t="s">
        <v>5</v>
      </c>
      <c r="F114" s="25"/>
      <c r="G114" s="24"/>
      <c r="H114" s="25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44" customHeight="1" thickBot="1" x14ac:dyDescent="0.3">
      <c r="B115" s="19">
        <f t="shared" si="5"/>
        <v>97</v>
      </c>
      <c r="C115" s="87" t="s">
        <v>168</v>
      </c>
      <c r="D115" s="88" t="s">
        <v>169</v>
      </c>
      <c r="E115" s="24" t="s">
        <v>1</v>
      </c>
      <c r="F115" s="25"/>
      <c r="G115" s="24"/>
      <c r="H115" s="25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44" customHeight="1" thickBot="1" x14ac:dyDescent="0.3">
      <c r="B116" s="19">
        <f t="shared" si="5"/>
        <v>98</v>
      </c>
      <c r="C116" s="87" t="s">
        <v>170</v>
      </c>
      <c r="D116" s="88" t="s">
        <v>171</v>
      </c>
      <c r="E116" s="24" t="s">
        <v>1</v>
      </c>
      <c r="F116" s="25"/>
      <c r="G116" s="24"/>
      <c r="H116" s="25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28.5" customHeight="1" thickBot="1" x14ac:dyDescent="0.3">
      <c r="B117" s="19">
        <f t="shared" si="5"/>
        <v>99</v>
      </c>
      <c r="C117" s="87" t="s">
        <v>172</v>
      </c>
      <c r="D117" s="88" t="s">
        <v>173</v>
      </c>
      <c r="E117" s="24" t="s">
        <v>2</v>
      </c>
      <c r="F117" s="25"/>
      <c r="G117" s="24"/>
      <c r="H117" s="25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28" customHeight="1" x14ac:dyDescent="0.25">
      <c r="B118" s="19">
        <f t="shared" si="5"/>
        <v>100</v>
      </c>
      <c r="C118" s="89" t="s">
        <v>174</v>
      </c>
      <c r="D118" s="26" t="s">
        <v>118</v>
      </c>
      <c r="E118" s="24" t="s">
        <v>1</v>
      </c>
      <c r="F118" s="25"/>
      <c r="G118" s="24"/>
      <c r="H118" s="25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28" customHeight="1" x14ac:dyDescent="0.25">
      <c r="B119" s="19">
        <f t="shared" si="5"/>
        <v>101</v>
      </c>
      <c r="C119" s="89" t="s">
        <v>175</v>
      </c>
      <c r="D119" s="26" t="s">
        <v>118</v>
      </c>
      <c r="E119" s="24" t="s">
        <v>1</v>
      </c>
      <c r="F119" s="25"/>
      <c r="G119" s="24"/>
      <c r="H119" s="25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x14ac:dyDescent="0.25">
      <c r="A120" s="39"/>
      <c r="B120" s="19" t="s">
        <v>19</v>
      </c>
      <c r="C120" s="20" t="s">
        <v>176</v>
      </c>
      <c r="D120" s="11"/>
      <c r="E120" s="27" t="s">
        <v>1</v>
      </c>
      <c r="F120" s="27" t="s">
        <v>55</v>
      </c>
      <c r="G120" s="27"/>
      <c r="H120" s="27"/>
    </row>
    <row r="121" spans="1:29" ht="28" customHeight="1" x14ac:dyDescent="0.25">
      <c r="B121" s="67">
        <f>B119+1</f>
        <v>102</v>
      </c>
      <c r="C121" s="40" t="s">
        <v>177</v>
      </c>
      <c r="D121" s="23" t="s">
        <v>178</v>
      </c>
      <c r="E121" s="24" t="s">
        <v>5</v>
      </c>
      <c r="F121" s="25" t="s">
        <v>179</v>
      </c>
      <c r="G121" s="24"/>
      <c r="H121" s="25"/>
    </row>
    <row r="122" spans="1:29" ht="28" customHeight="1" x14ac:dyDescent="0.25">
      <c r="B122" s="67">
        <f>B121+1</f>
        <v>103</v>
      </c>
      <c r="C122" s="40" t="s">
        <v>180</v>
      </c>
      <c r="D122" s="23" t="s">
        <v>181</v>
      </c>
      <c r="E122" s="24" t="s">
        <v>5</v>
      </c>
      <c r="F122" s="25" t="s">
        <v>179</v>
      </c>
      <c r="G122" s="24"/>
      <c r="H122" s="25"/>
    </row>
    <row r="123" spans="1:29" ht="86" customHeight="1" x14ac:dyDescent="0.25">
      <c r="B123" s="67">
        <f>B122+1</f>
        <v>104</v>
      </c>
      <c r="C123" s="40" t="s">
        <v>182</v>
      </c>
      <c r="D123" s="23" t="s">
        <v>183</v>
      </c>
      <c r="E123" s="24" t="s">
        <v>5</v>
      </c>
      <c r="F123" s="25"/>
      <c r="G123" s="24"/>
      <c r="H123" s="25"/>
    </row>
    <row r="124" spans="1:29" x14ac:dyDescent="0.25">
      <c r="B124" s="19"/>
      <c r="C124" s="20"/>
      <c r="D124" s="41"/>
      <c r="E124" s="27"/>
      <c r="F124" s="27"/>
      <c r="G124" s="27"/>
      <c r="H124" s="27"/>
    </row>
    <row r="125" spans="1:29" x14ac:dyDescent="0.25">
      <c r="B125" s="19"/>
      <c r="C125" s="33"/>
      <c r="D125" s="26"/>
      <c r="E125" s="24"/>
      <c r="F125" s="25"/>
      <c r="G125" s="24"/>
      <c r="H125" s="25"/>
    </row>
    <row r="126" spans="1:29" x14ac:dyDescent="0.25">
      <c r="B126" s="19"/>
      <c r="C126" s="33"/>
      <c r="D126" s="26"/>
      <c r="E126" s="24"/>
      <c r="F126" s="25"/>
      <c r="G126" s="24"/>
      <c r="H126" s="25"/>
    </row>
    <row r="127" spans="1:29" x14ac:dyDescent="0.25">
      <c r="C127" s="6" t="s">
        <v>184</v>
      </c>
      <c r="D127" s="8"/>
      <c r="E127" s="42">
        <f>IF((E$130+E$131)&gt;0,E$130/(E$130+E$131),0)</f>
        <v>0.66666666666666663</v>
      </c>
      <c r="F127" s="43"/>
      <c r="G127" s="42">
        <f>IF((G$130+G$131)&gt;0,G$130/(G$130+G$131),0)</f>
        <v>0</v>
      </c>
      <c r="H127" s="43"/>
    </row>
    <row r="128" spans="1:29" x14ac:dyDescent="0.25">
      <c r="C128" s="44"/>
      <c r="D128" s="45"/>
      <c r="E128" s="46"/>
      <c r="F128" s="47"/>
      <c r="G128" s="46"/>
      <c r="H128" s="47"/>
    </row>
    <row r="129" spans="2:8" x14ac:dyDescent="0.25">
      <c r="C129" s="44" t="s">
        <v>185</v>
      </c>
      <c r="D129" s="45"/>
      <c r="E129" s="48">
        <f>COUNT($B$11:$B$126)</f>
        <v>104</v>
      </c>
      <c r="F129" s="47"/>
      <c r="G129" s="48">
        <f>COUNT($B$11:$B$126)</f>
        <v>104</v>
      </c>
      <c r="H129" s="47"/>
    </row>
    <row r="130" spans="2:8" x14ac:dyDescent="0.25">
      <c r="C130" s="49" t="s">
        <v>186</v>
      </c>
      <c r="E130" s="48">
        <f>COUNTIF(E$11:E$126,"OK")</f>
        <v>54</v>
      </c>
      <c r="G130" s="48">
        <f>COUNTIF(G$11:G$126,"OK")</f>
        <v>0</v>
      </c>
    </row>
    <row r="131" spans="2:8" x14ac:dyDescent="0.25">
      <c r="C131" s="51" t="s">
        <v>187</v>
      </c>
      <c r="D131" s="52"/>
      <c r="E131" s="48">
        <f>COUNTIF(E$11:E$126,"NO OK")</f>
        <v>27</v>
      </c>
      <c r="G131" s="48">
        <f>COUNTIF(G$11:G$126,"NO OK")</f>
        <v>0</v>
      </c>
    </row>
    <row r="132" spans="2:8" x14ac:dyDescent="0.25">
      <c r="C132" s="49" t="s">
        <v>188</v>
      </c>
      <c r="E132" s="48">
        <f>COUNTIF(E$11:E$126,"No Aplica")</f>
        <v>32</v>
      </c>
      <c r="G132" s="48">
        <f>COUNTIF(G$11:G$126,"No Aplica")</f>
        <v>0</v>
      </c>
    </row>
    <row r="133" spans="2:8" x14ac:dyDescent="0.25">
      <c r="E133" s="48"/>
      <c r="G133" s="48"/>
    </row>
    <row r="134" spans="2:8" s="55" customFormat="1" ht="37.5" customHeight="1" x14ac:dyDescent="0.25">
      <c r="B134" s="53"/>
      <c r="C134" s="50"/>
      <c r="D134" s="50"/>
      <c r="E134" s="54" t="str">
        <f>IF(SUM(E$130:E$132)&lt;E$129, "Todavía faltan puntos por calificar.","Se han calificado ya todos los puntos para este Producto.")</f>
        <v>Se han calificado ya todos los puntos para este Producto.</v>
      </c>
      <c r="G134" s="54" t="str">
        <f>IF(SUM(G$130:G$132)&lt;G$129, "Todavía faltan puntos por calificar.","Se han calificado ya todos los puntos para este Producto.")</f>
        <v>Todavía faltan puntos por calificar.</v>
      </c>
    </row>
  </sheetData>
  <mergeCells count="9">
    <mergeCell ref="C16:C17"/>
    <mergeCell ref="C18:C19"/>
    <mergeCell ref="G3:H3"/>
    <mergeCell ref="E3:F3"/>
    <mergeCell ref="G4:H4"/>
    <mergeCell ref="E4:F4"/>
    <mergeCell ref="C6:D7"/>
    <mergeCell ref="C14:C15"/>
    <mergeCell ref="C1:F1"/>
  </mergeCells>
  <dataValidations count="1">
    <dataValidation type="list" allowBlank="1" showInputMessage="1" showErrorMessage="1" sqref="E11:E20 E22:E27 E30:E45 E47:E54 E56:E58 G125:G126 E77:E101 E103:E119 E121:E123 E125:E126 G11:G20 G22:G27 G30:G45 G47:G54 G56:G58 G60:G75 G77:G101 G110:G119 G121:G123 E60:E75" xr:uid="{00000000-0002-0000-0000-000000000000}">
      <formula1>$AC$1:$AC$3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defaultRowHeight="14.5" x14ac:dyDescent="0.35"/>
  <sheetData>
    <row r="1" spans="1:3" x14ac:dyDescent="0.35">
      <c r="A1" t="s">
        <v>189</v>
      </c>
      <c r="B1" t="s">
        <v>190</v>
      </c>
      <c r="C1" t="s">
        <v>191</v>
      </c>
    </row>
    <row r="2" spans="1:3" x14ac:dyDescent="0.35">
      <c r="A2">
        <v>3</v>
      </c>
      <c r="B2" t="s">
        <v>3</v>
      </c>
      <c r="C2" t="s">
        <v>192</v>
      </c>
    </row>
    <row r="3" spans="1:3" x14ac:dyDescent="0.35">
      <c r="A3">
        <v>4</v>
      </c>
      <c r="B3" t="s">
        <v>6</v>
      </c>
      <c r="C3" t="s">
        <v>193</v>
      </c>
    </row>
    <row r="4" spans="1:3" x14ac:dyDescent="0.35">
      <c r="A4">
        <v>6</v>
      </c>
      <c r="B4" t="s">
        <v>8</v>
      </c>
      <c r="C4" t="s">
        <v>194</v>
      </c>
    </row>
    <row r="5" spans="1:3" x14ac:dyDescent="0.35">
      <c r="A5">
        <v>8</v>
      </c>
      <c r="B5" t="s">
        <v>12</v>
      </c>
      <c r="C5" t="s">
        <v>195</v>
      </c>
    </row>
    <row r="6" spans="1:3" x14ac:dyDescent="0.35">
      <c r="A6">
        <v>9</v>
      </c>
      <c r="B6" t="s">
        <v>15</v>
      </c>
      <c r="C6" t="s">
        <v>196</v>
      </c>
    </row>
    <row r="7" spans="1:3" x14ac:dyDescent="0.35">
      <c r="A7">
        <v>10</v>
      </c>
      <c r="B7" t="s">
        <v>20</v>
      </c>
      <c r="C7" t="s">
        <v>197</v>
      </c>
    </row>
    <row r="8" spans="1:3" x14ac:dyDescent="0.35">
      <c r="A8">
        <v>11</v>
      </c>
      <c r="B8" t="s">
        <v>22</v>
      </c>
      <c r="C8" t="s">
        <v>198</v>
      </c>
    </row>
    <row r="9" spans="1:3" x14ac:dyDescent="0.35">
      <c r="A9">
        <v>12</v>
      </c>
      <c r="B9" t="s">
        <v>25</v>
      </c>
      <c r="C9" t="s">
        <v>199</v>
      </c>
    </row>
    <row r="10" spans="1:3" x14ac:dyDescent="0.35">
      <c r="A10">
        <v>13</v>
      </c>
      <c r="B10" t="s">
        <v>27</v>
      </c>
      <c r="C10" t="s">
        <v>200</v>
      </c>
    </row>
    <row r="11" spans="1:3" x14ac:dyDescent="0.35">
      <c r="A11">
        <v>14</v>
      </c>
      <c r="B11" t="s">
        <v>29</v>
      </c>
      <c r="C11" t="s">
        <v>201</v>
      </c>
    </row>
    <row r="12" spans="1:3" x14ac:dyDescent="0.35">
      <c r="A12">
        <v>16</v>
      </c>
      <c r="B12" t="s">
        <v>32</v>
      </c>
      <c r="C12" t="s">
        <v>202</v>
      </c>
    </row>
    <row r="13" spans="1:3" x14ac:dyDescent="0.35">
      <c r="A13">
        <v>18</v>
      </c>
      <c r="B13" t="s">
        <v>35</v>
      </c>
      <c r="C13" t="s">
        <v>203</v>
      </c>
    </row>
    <row r="14" spans="1:3" x14ac:dyDescent="0.35">
      <c r="A14">
        <v>20</v>
      </c>
      <c r="B14" t="s">
        <v>38</v>
      </c>
      <c r="C14" t="s">
        <v>204</v>
      </c>
    </row>
    <row r="15" spans="1:3" x14ac:dyDescent="0.35">
      <c r="A15">
        <v>21</v>
      </c>
      <c r="B15" t="s">
        <v>40</v>
      </c>
      <c r="C15" t="s">
        <v>205</v>
      </c>
    </row>
    <row r="16" spans="1:3" x14ac:dyDescent="0.35">
      <c r="A16">
        <v>22</v>
      </c>
      <c r="B16" t="s">
        <v>42</v>
      </c>
      <c r="C16" t="s">
        <v>206</v>
      </c>
    </row>
    <row r="17" spans="1:3" x14ac:dyDescent="0.35">
      <c r="A17">
        <v>23</v>
      </c>
      <c r="B17" t="s">
        <v>44</v>
      </c>
      <c r="C17" t="s">
        <v>207</v>
      </c>
    </row>
    <row r="18" spans="1:3" x14ac:dyDescent="0.35">
      <c r="A18">
        <v>24</v>
      </c>
      <c r="B18" t="s">
        <v>47</v>
      </c>
      <c r="C18" t="s">
        <v>208</v>
      </c>
    </row>
    <row r="19" spans="1:3" x14ac:dyDescent="0.35">
      <c r="A19">
        <v>25</v>
      </c>
      <c r="B19" t="s">
        <v>49</v>
      </c>
      <c r="C19" t="s">
        <v>209</v>
      </c>
    </row>
    <row r="20" spans="1:3" x14ac:dyDescent="0.35">
      <c r="A20">
        <v>26</v>
      </c>
      <c r="B20" t="s">
        <v>51</v>
      </c>
      <c r="C20" t="s">
        <v>210</v>
      </c>
    </row>
    <row r="21" spans="1:3" x14ac:dyDescent="0.35">
      <c r="A21">
        <v>27</v>
      </c>
      <c r="B21" t="s">
        <v>53</v>
      </c>
      <c r="C21" t="s">
        <v>211</v>
      </c>
    </row>
    <row r="22" spans="1:3" x14ac:dyDescent="0.35">
      <c r="A22">
        <v>28</v>
      </c>
      <c r="B22" t="s">
        <v>54</v>
      </c>
      <c r="C22" t="s">
        <v>212</v>
      </c>
    </row>
    <row r="23" spans="1:3" x14ac:dyDescent="0.35">
      <c r="A23">
        <v>29</v>
      </c>
      <c r="B23" t="s">
        <v>57</v>
      </c>
      <c r="C23" t="s">
        <v>213</v>
      </c>
    </row>
    <row r="24" spans="1:3" x14ac:dyDescent="0.35">
      <c r="A24">
        <v>35</v>
      </c>
      <c r="B24" t="s">
        <v>68</v>
      </c>
      <c r="C24" t="s">
        <v>214</v>
      </c>
    </row>
    <row r="25" spans="1:3" x14ac:dyDescent="0.35">
      <c r="A25">
        <v>41</v>
      </c>
      <c r="B25" t="s">
        <v>79</v>
      </c>
      <c r="C25" t="s">
        <v>215</v>
      </c>
    </row>
    <row r="26" spans="1:3" x14ac:dyDescent="0.35">
      <c r="A26">
        <v>42</v>
      </c>
      <c r="B26" t="s">
        <v>81</v>
      </c>
      <c r="C26" t="s">
        <v>216</v>
      </c>
    </row>
    <row r="27" spans="1:3" x14ac:dyDescent="0.35">
      <c r="A27">
        <v>46</v>
      </c>
      <c r="B27" t="s">
        <v>88</v>
      </c>
      <c r="C27" t="s">
        <v>217</v>
      </c>
    </row>
    <row r="28" spans="1:3" x14ac:dyDescent="0.35">
      <c r="A28">
        <v>48</v>
      </c>
      <c r="B28" t="s">
        <v>91</v>
      </c>
      <c r="C28" t="s">
        <v>218</v>
      </c>
    </row>
    <row r="29" spans="1:3" x14ac:dyDescent="0.35">
      <c r="A29">
        <v>49</v>
      </c>
      <c r="B29" t="s">
        <v>93</v>
      </c>
      <c r="C29" t="s">
        <v>219</v>
      </c>
    </row>
    <row r="30" spans="1:3" x14ac:dyDescent="0.35">
      <c r="A30">
        <v>50</v>
      </c>
      <c r="B30" t="s">
        <v>95</v>
      </c>
      <c r="C30" t="s">
        <v>220</v>
      </c>
    </row>
    <row r="31" spans="1:3" x14ac:dyDescent="0.35">
      <c r="A31">
        <v>51</v>
      </c>
      <c r="B31" t="s">
        <v>97</v>
      </c>
      <c r="C31" t="s">
        <v>221</v>
      </c>
    </row>
    <row r="32" spans="1:3" x14ac:dyDescent="0.35">
      <c r="A32">
        <v>52</v>
      </c>
      <c r="B32" t="s">
        <v>99</v>
      </c>
      <c r="C32" t="s">
        <v>222</v>
      </c>
    </row>
    <row r="33" spans="1:3" x14ac:dyDescent="0.35">
      <c r="A33">
        <v>53</v>
      </c>
      <c r="B33" t="s">
        <v>101</v>
      </c>
      <c r="C33" t="s">
        <v>223</v>
      </c>
    </row>
    <row r="34" spans="1:3" x14ac:dyDescent="0.35">
      <c r="A34">
        <v>54</v>
      </c>
      <c r="B34" t="s">
        <v>103</v>
      </c>
      <c r="C34" t="s">
        <v>224</v>
      </c>
    </row>
    <row r="35" spans="1:3" x14ac:dyDescent="0.35">
      <c r="A35">
        <v>55</v>
      </c>
      <c r="B35" t="s">
        <v>105</v>
      </c>
      <c r="C35" t="s">
        <v>225</v>
      </c>
    </row>
    <row r="36" spans="1:3" x14ac:dyDescent="0.35">
      <c r="A36">
        <v>57</v>
      </c>
      <c r="B36" t="s">
        <v>108</v>
      </c>
      <c r="C36" t="s">
        <v>226</v>
      </c>
    </row>
    <row r="37" spans="1:3" x14ac:dyDescent="0.35">
      <c r="A37">
        <v>58</v>
      </c>
      <c r="B37" t="s">
        <v>110</v>
      </c>
      <c r="C37" t="s">
        <v>227</v>
      </c>
    </row>
    <row r="38" spans="1:3" x14ac:dyDescent="0.35">
      <c r="A38">
        <v>59</v>
      </c>
      <c r="B38" t="s">
        <v>112</v>
      </c>
      <c r="C38" t="s">
        <v>228</v>
      </c>
    </row>
    <row r="39" spans="1:3" x14ac:dyDescent="0.35">
      <c r="A39">
        <v>76</v>
      </c>
      <c r="B39" t="s">
        <v>126</v>
      </c>
      <c r="C39" t="s">
        <v>229</v>
      </c>
    </row>
    <row r="40" spans="1:3" x14ac:dyDescent="0.35">
      <c r="A40">
        <v>84</v>
      </c>
      <c r="B40" t="s">
        <v>137</v>
      </c>
      <c r="C40" t="s">
        <v>230</v>
      </c>
    </row>
    <row r="41" spans="1:3" x14ac:dyDescent="0.35">
      <c r="A41">
        <v>90</v>
      </c>
      <c r="B41" t="s">
        <v>139</v>
      </c>
      <c r="C41" t="s">
        <v>231</v>
      </c>
    </row>
    <row r="42" spans="1:3" x14ac:dyDescent="0.35">
      <c r="A42">
        <v>102</v>
      </c>
      <c r="B42" t="s">
        <v>143</v>
      </c>
      <c r="C42" t="s">
        <v>232</v>
      </c>
    </row>
    <row r="43" spans="1:3" x14ac:dyDescent="0.35">
      <c r="A43">
        <v>109</v>
      </c>
      <c r="B43" t="s">
        <v>156</v>
      </c>
      <c r="C43" t="s">
        <v>233</v>
      </c>
    </row>
    <row r="44" spans="1:3" x14ac:dyDescent="0.35">
      <c r="A44">
        <v>110</v>
      </c>
      <c r="B44" t="s">
        <v>158</v>
      </c>
      <c r="C44" t="s">
        <v>234</v>
      </c>
    </row>
    <row r="45" spans="1:3" x14ac:dyDescent="0.35">
      <c r="A45">
        <v>111</v>
      </c>
      <c r="B45" t="s">
        <v>160</v>
      </c>
      <c r="C45" t="s">
        <v>235</v>
      </c>
    </row>
    <row r="46" spans="1:3" x14ac:dyDescent="0.35">
      <c r="A46">
        <v>112</v>
      </c>
      <c r="B46" t="s">
        <v>162</v>
      </c>
      <c r="C46" t="s">
        <v>236</v>
      </c>
    </row>
    <row r="47" spans="1:3" x14ac:dyDescent="0.35">
      <c r="A47">
        <v>113</v>
      </c>
      <c r="B47" t="s">
        <v>164</v>
      </c>
      <c r="C47" t="s">
        <v>237</v>
      </c>
    </row>
    <row r="48" spans="1:3" x14ac:dyDescent="0.35">
      <c r="A48">
        <v>114</v>
      </c>
      <c r="B48" t="s">
        <v>166</v>
      </c>
      <c r="C48" t="s">
        <v>238</v>
      </c>
    </row>
    <row r="49" spans="1:3" x14ac:dyDescent="0.35">
      <c r="A49">
        <v>120</v>
      </c>
      <c r="B49" t="s">
        <v>176</v>
      </c>
      <c r="C49" t="s">
        <v>239</v>
      </c>
    </row>
    <row r="50" spans="1:3" x14ac:dyDescent="0.35">
      <c r="A50">
        <v>121</v>
      </c>
      <c r="B50" t="s">
        <v>177</v>
      </c>
      <c r="C50" t="s">
        <v>240</v>
      </c>
    </row>
    <row r="51" spans="1:3" x14ac:dyDescent="0.35">
      <c r="A51">
        <v>122</v>
      </c>
      <c r="B51" t="s">
        <v>180</v>
      </c>
      <c r="C51" t="s">
        <v>241</v>
      </c>
    </row>
    <row r="52" spans="1:3" x14ac:dyDescent="0.35">
      <c r="A52">
        <v>123</v>
      </c>
      <c r="B52" t="s">
        <v>182</v>
      </c>
      <c r="C52" t="s">
        <v>242</v>
      </c>
    </row>
    <row r="53" spans="1:3" x14ac:dyDescent="0.35">
      <c r="A53">
        <v>127</v>
      </c>
      <c r="B53" t="s">
        <v>184</v>
      </c>
      <c r="C53" t="s">
        <v>243</v>
      </c>
    </row>
    <row r="54" spans="1:3" x14ac:dyDescent="0.35">
      <c r="A54">
        <v>129</v>
      </c>
      <c r="B54" t="s">
        <v>185</v>
      </c>
      <c r="C54" t="s">
        <v>244</v>
      </c>
    </row>
    <row r="55" spans="1:3" x14ac:dyDescent="0.35">
      <c r="A55">
        <v>130</v>
      </c>
      <c r="B55" t="s">
        <v>186</v>
      </c>
      <c r="C55" t="s">
        <v>245</v>
      </c>
    </row>
    <row r="56" spans="1:3" x14ac:dyDescent="0.35">
      <c r="A56">
        <v>131</v>
      </c>
      <c r="B56" t="s">
        <v>187</v>
      </c>
      <c r="C56" t="s">
        <v>246</v>
      </c>
    </row>
    <row r="57" spans="1:3" x14ac:dyDescent="0.35">
      <c r="A57">
        <v>132</v>
      </c>
      <c r="B57" t="s">
        <v>188</v>
      </c>
      <c r="C57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2026-03-25T00:15:45Z</dcterms:created>
  <dcterms:modified xsi:type="dcterms:W3CDTF">2026-04-01T19:14:57Z</dcterms:modified>
</cp:coreProperties>
</file>