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GerenteOperacion\"/>
    </mc:Choice>
  </mc:AlternateContent>
  <xr:revisionPtr revIDLastSave="0" documentId="8_{B7B01E78-8A93-43F7-A95F-EED06EAD04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2 Chk Gerente de operación" sheetId="1" r:id="rId1"/>
    <sheet name="02 Chk Gerente de operación (2)" sheetId="2" r:id="rId2"/>
    <sheet name="SinCoincidencia" sheetId="3" r:id="rId3"/>
  </sheets>
  <externalReferences>
    <externalReference r:id="rId4"/>
    <externalReference r:id="rId5"/>
  </externalReferences>
  <definedNames>
    <definedName name="_xlnm._FilterDatabase" localSheetId="0" hidden="1">'02 Chk Gerente de operación'!$B$9:$H$127</definedName>
    <definedName name="_xlnm._FilterDatabase" localSheetId="1" hidden="1">'02 Chk Gerente de operación (2)'!$B$9:$H$127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2" l="1"/>
  <c r="E132" i="2"/>
  <c r="G131" i="2"/>
  <c r="E131" i="2"/>
  <c r="G130" i="2"/>
  <c r="G127" i="2" s="1"/>
  <c r="E130" i="2"/>
  <c r="E127" i="2"/>
  <c r="B37" i="2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6" i="2" s="1"/>
  <c r="B57" i="2" s="1"/>
  <c r="B58" i="2" s="1"/>
  <c r="B59" i="2" s="1"/>
  <c r="B60" i="2" s="1"/>
  <c r="B61" i="2" s="1"/>
  <c r="B62" i="2" s="1"/>
  <c r="B63" i="2" s="1"/>
  <c r="B65" i="2" s="1"/>
  <c r="B66" i="2" s="1"/>
  <c r="B67" i="2" s="1"/>
  <c r="B68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1" i="2" s="1"/>
  <c r="B112" i="2" s="1"/>
  <c r="B113" i="2" s="1"/>
  <c r="B114" i="2" s="1"/>
  <c r="B115" i="2" s="1"/>
  <c r="B116" i="2" s="1"/>
  <c r="B117" i="2" s="1"/>
  <c r="B118" i="2" s="1"/>
  <c r="B119" i="2" s="1"/>
  <c r="B121" i="2" s="1"/>
  <c r="B122" i="2" s="1"/>
  <c r="B123" i="2" s="1"/>
  <c r="B32" i="2"/>
  <c r="B33" i="2" s="1"/>
  <c r="B34" i="2" s="1"/>
  <c r="B35" i="2" s="1"/>
  <c r="B36" i="2" s="1"/>
  <c r="B31" i="2"/>
  <c r="B23" i="2"/>
  <c r="B24" i="2" s="1"/>
  <c r="B25" i="2" s="1"/>
  <c r="B26" i="2" s="1"/>
  <c r="B27" i="2" s="1"/>
  <c r="B13" i="2"/>
  <c r="B12" i="2"/>
  <c r="G132" i="1"/>
  <c r="E132" i="1"/>
  <c r="G131" i="1"/>
  <c r="E131" i="1"/>
  <c r="G130" i="1"/>
  <c r="G127" i="1" s="1"/>
  <c r="E130" i="1"/>
  <c r="E127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59" i="1" s="1"/>
  <c r="B60" i="1" s="1"/>
  <c r="B61" i="1" s="1"/>
  <c r="B62" i="1" s="1"/>
  <c r="B63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1" i="1" s="1"/>
  <c r="B112" i="1" s="1"/>
  <c r="B113" i="1" s="1"/>
  <c r="B114" i="1" s="1"/>
  <c r="B115" i="1" s="1"/>
  <c r="B116" i="1" s="1"/>
  <c r="B117" i="1" s="1"/>
  <c r="B118" i="1" s="1"/>
  <c r="B119" i="1" s="1"/>
  <c r="B121" i="1" s="1"/>
  <c r="B122" i="1" s="1"/>
  <c r="B123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B14" i="2"/>
  <c r="G129" i="1" l="1"/>
  <c r="G134" i="1" s="1"/>
  <c r="B15" i="2"/>
  <c r="B16" i="2" s="1"/>
  <c r="B17" i="2" s="1"/>
  <c r="B18" i="2" s="1"/>
  <c r="B19" i="2" s="1"/>
  <c r="B20" i="2" s="1"/>
  <c r="E129" i="1"/>
  <c r="E134" i="1" s="1"/>
  <c r="E129" i="2" l="1"/>
  <c r="E134" i="2" s="1"/>
  <c r="G129" i="2"/>
  <c r="G134" i="2" s="1"/>
</calcChain>
</file>

<file path=xl/sharedStrings.xml><?xml version="1.0" encoding="utf-8"?>
<sst xmlns="http://schemas.openxmlformats.org/spreadsheetml/2006/main" count="738" uniqueCount="236">
  <si>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</si>
  <si>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</si>
  <si>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</si>
  <si>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</si>
  <si>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</si>
  <si>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</si>
  <si>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</si>
  <si>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</si>
  <si>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</si>
  <si>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</si>
  <si>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</si>
  <si>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</si>
  <si>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 xml:space="preserve"> Gerente de operación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</si>
  <si>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</si>
  <si>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</si>
  <si>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</si>
  <si>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</si>
  <si>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</si>
  <si>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</si>
  <si>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</si>
  <si>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</si>
  <si>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</si>
  <si>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</si>
  <si>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</si>
  <si>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</si>
  <si>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</si>
  <si>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</si>
  <si>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</si>
  <si>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</si>
  <si>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</si>
  <si>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“Gerente de operación”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</si>
  <si>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</si>
  <si>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</si>
  <si>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</si>
  <si>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</si>
  <si>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</si>
  <si>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</si>
  <si>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</si>
  <si>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</si>
  <si>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</si>
  <si>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</si>
  <si>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</si>
  <si>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</si>
  <si>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</si>
  <si>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</si>
  <si>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</si>
  <si>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</si>
  <si>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</si>
  <si>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</si>
  <si>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</si>
  <si>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</si>
  <si>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</si>
  <si>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</si>
  <si>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</si>
  <si>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</si>
  <si>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</si>
  <si>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gestión de proyectos o servicios  grandes o críticos alineado al rol ?</t>
  </si>
  <si>
    <t xml:space="preserve">Para el rol del Gerente de operación
Al menos 5 años de experiencia en gestión de proyectos ….
</t>
  </si>
  <si>
    <t>¿El CV acredita funciones de coordinación de actividades de personal especialista y profesional técnico para cumplimiento de procesos y garantizar la continuidad de los servicios  (multi‑equipo)?</t>
  </si>
  <si>
    <t>•	Coordinar actividades de personal especialista y profesional técnico para cumplimiento de procesos y garantizar la continuidad de los servicios.</t>
  </si>
  <si>
    <t>¿El CV evidencia revisiones mensuales de los servicios a su cargo (seguimiento operativo y mejora)?</t>
  </si>
  <si>
    <t>Esta clara en el CV</t>
  </si>
  <si>
    <t>¿El CV reporta KPIs operativos (SLA/OLA, TTA/TTR, % de cumplimiento, calidad) atribuibles a su gestión?</t>
  </si>
  <si>
    <t>¿El CV presenta evidencias de liderazgo (tamaño de equipos, turnos/coberturas gestionadas, complejidad multi‑proveedor)?</t>
  </si>
  <si>
    <t>¿El CV declara disponibilidad en Cobertura Tipo A y, para proyectos críticos, coberturas A–D, aportando evidencias de experiencia operando bajo dichos esquemas?</t>
  </si>
  <si>
    <t>¿El CV evidencia coordinación de la fase de ANÁLISIS (recepción/validación de insumos funcionales, casos de prueba iniciales, solicitar minutas) conforme al Plan Tipo?</t>
  </si>
  <si>
    <t>¿El CV evidencia coordinación de la fase de DISEÑO (EDA, FCU/FCUN, MSF y VoBo de arquitectura/áreas técnicas), con trazabilidad de artefactos?</t>
  </si>
  <si>
    <t>¿El CV evidencia coordinación de la fase de DESARROLLO (calidad de código, armado y “entrega de paquete a la AVL”), con registros de compilación y control de cambios?</t>
  </si>
  <si>
    <t>Esta clara en el CV
Control de Matriz de Cambios</t>
  </si>
  <si>
    <t>¿El CV evidencia coordinación de PRUEBAS funcionales/integración y consolidación de resultados para VoBo de avance?</t>
  </si>
  <si>
    <t>¿El CV evidencia coordinación de LIBERACIÓN (toma aplicativa, transferencia de conocimiento, pedir capacitación a Mesa SAT, CAES y cierre)?</t>
  </si>
  <si>
    <t>¿El CV evidencia coordinación de AMBIENTACIONES (Integración, UAT, Producción) (con Torre SAT, SSO, RAPE, AAT/AGACT, incluyendo actas y VoBo)?</t>
  </si>
  <si>
    <t>¿El CV muestra casos liderando sesiones de Resolición de problemas (coordinación, verificación de construcción, ajuste de personalizaciones, cierre de impedimentos)?</t>
  </si>
  <si>
    <t>¿El CV demuestra seguimiento al Plan de Trabajo/WBS por fases (Análisis–Diseño–Desarrollo–Pruebas–Liberación), con control de dependencias, ruta crítica e hitos?</t>
  </si>
  <si>
    <t>¿El CV acredita experiencia aplicando diferentes métodos de estimación ?</t>
  </si>
  <si>
    <t>Indicar cuáles</t>
  </si>
  <si>
    <t>¿El CV acredita experiencia integrando y operando mesas de trabajo y/o mesas de servicios?</t>
  </si>
  <si>
    <t>Indicar cuáles
Indicar si a implmentado la consulta a través de Https</t>
  </si>
  <si>
    <t>¿El CV acredita experiencia en toma de operación de proyectos o servicios  grandes o críticos?</t>
  </si>
  <si>
    <t>¿La experiencia suma ≥5 años en gestión de proyectos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</si>
  <si>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</si>
  <si>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</si>
  <si>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</si>
  <si>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</si>
  <si>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</si>
  <si>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</si>
  <si>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</si>
  <si>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</si>
  <si>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</si>
  <si>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</si>
  <si>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con coordinación de PMO, múltiples equipos y relación negocio/TI, incluyendo supervisión de servicios mensuales?</t>
  </si>
  <si>
    <t>Dirección de proyectos grandes o críticos
Coordinación de PMO, líderes técnicos, especialistas
Gestión de múltiples equipos y entregables
Relación con áreas de negocio y TI
Supervisión de servicios mensuales / procesos / métricas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</si>
  <si>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</si>
  <si>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</si>
  <si>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</si>
  <si>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</si>
  <si>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</si>
  <si>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</si>
  <si>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</si>
  <si>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</si>
  <si>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</si>
  <si>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</si>
  <si>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</si>
  <si>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</si>
  <si>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</si>
  <si>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</si>
  <si>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</si>
  <si>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</si>
  <si>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</si>
  <si>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</si>
  <si>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</si>
  <si>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</si>
  <si>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</si>
  <si>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</si>
  <si>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</si>
  <si>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</si>
  <si>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</si>
  <si>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al menos 1 certificación vigente de las siguientes:
-PMP
-SCRUM Master
-ITIL v 4.0
-Leading SAFE</t>
  </si>
  <si>
    <t>Acreditar el dominio de herramientas señaladas -Cursos</t>
  </si>
  <si>
    <t>Acreditar 1 curso de los siguientes:
-Auditoría de TI.
-Gestión de servicios en tecnologías de la información (ITIL V4 Foundation).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</si>
  <si>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</si>
  <si>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</si>
  <si>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</si>
  <si>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ITIL v4 Foundation viggente?</t>
  </si>
  <si>
    <t xml:space="preserve">Acreditar al menos 1 certificación vigente </t>
  </si>
  <si>
    <t>¿El candidato posee PMP vigente como certificación adicional (si es la seleccionada)?</t>
  </si>
  <si>
    <t>¿El candidato posee Scrum Master vigente como certificación adicional (si es la seleccionada)?</t>
  </si>
  <si>
    <t>¿El candidato posee Leading SAFe vigente como certificación adicional (si es la seleccionada)?</t>
  </si>
  <si>
    <t xml:space="preserve">La certificación 1 es legible y vigente </t>
  </si>
  <si>
    <t>El documento oficial de cada certificado está en el repositorio
Especificar cuál es de las siguientes: PMP, SCRUM Master, ITIL v 4.0, Leading SAFE (debe tener al menos 1)</t>
  </si>
  <si>
    <t>¿Las fechas de emisión y expiración está claramente indicadas?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</si>
  <si>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</si>
  <si>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</si>
  <si>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</si>
  <si>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</si>
  <si>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</si>
  <si>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</si>
  <si>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</si>
  <si>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</si>
  <si>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</si>
  <si>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</si>
  <si>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Auditoría de TI?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</si>
  <si>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</si>
  <si>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</si>
  <si>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</si>
  <si>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</si>
  <si>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</si>
  <si>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</si>
  <si>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</si>
  <si>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Gestión de servicios en tecnologías de la información (ITIL V4 Foundation) ?</t>
  </si>
  <si>
    <t>¿El candidato adjunta constancia del curso XXXXXX ?</t>
  </si>
  <si>
    <t>Incluir en caso de que sumen puntos el nombre de otro curso relacionado con el rol</t>
  </si>
  <si>
    <t>Domino de herramientas</t>
  </si>
  <si>
    <t>¿El CV acredita dominio de ITSM/ITIL aplicado en operación (Mesa de Servicios, gestión de incidentes/problemas/cambios) y muestra métricas/SLAs/OLAs logradas?</t>
  </si>
  <si>
    <t>Dominio de herramientas relacionadas con la gestión y operación del servicio.
Mencionar ¿cuál?  ITSM / ITIL (Mesa de servicio)
Aclarar que ha sido en proyectos grandes/críticos</t>
  </si>
  <si>
    <t>¿El CV evidencia uso profesional de PPM/Jira/MS Project para seguimiento operativo (PT/WBS, hitos, paquetes en Monitor/Administración de Versiones - AVL y ventanas de liberación)?</t>
  </si>
  <si>
    <t>Dominio de herramientas relacionadas con la gestión y operación del servicio.
Mencionar ¿cuál?  PPM, Jira, MS Project
Aclarar que ha sido en proyectos grandes/críticos</t>
  </si>
  <si>
    <t>¿El CV documenta tableros/KPIs operativos usados para supervisar servicios 24×7?</t>
  </si>
  <si>
    <t>Dominio de herramientas relacionadas con la gestión y operación del servicio.
Mencionar ¿cuál?  Herramientas de seguimiento, monitoreo y control
Aclarar que ha sido en proyectos grandes/críticos</t>
  </si>
  <si>
    <t>¿El CV describe herramientas y formatos de reportería operativa (carpetas/indicadores/auditorías) y su aporte a la gobernanza del servicio?</t>
  </si>
  <si>
    <t>Dominio de herramientas relacionadas con la gestión y operación del servicio.
Mencionar ¿cuál?   Herramientas de reporteo / documentación
Aclarar que ha sido en proyectos grandes/críticos</t>
  </si>
  <si>
    <t>¿El CV acredita uso de GitLab/ALM para versionado, issues/tareas y documentación técnica con trazabilidad de cambios?</t>
  </si>
  <si>
    <t>Dominio de herramientas relacionadas con la gestión y operación del servicio.
Mencionar ¿cuál?   Herramientas de versionado
Aclarar que ha sido en proyectos grandes/críticos</t>
  </si>
  <si>
    <t>¿El CV muestra experiencia con análisis estático de código  y su integración al flujo de pruebas hasta cumplir cero bloqueantes/críticos/altos previo a liberar?</t>
  </si>
  <si>
    <t>Dominio de herramientas relacionadas con la gestión y operación del servicio.
Mencionar ¿cuál?  (SonarQube/criterios Administración de Versiones AVL)
Aclarar que ha sido en proyectos grandes/críticos</t>
  </si>
  <si>
    <t>¿El CV acredita uso de repositorio de artefactos binarios para control de dependencias y paquetes liberables?</t>
  </si>
  <si>
    <t>Repositorio de artefactos (Nexus Repository / Archiva institucional)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</si>
  <si>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</si>
  <si>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</si>
  <si>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</si>
  <si>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</si>
  <si>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</si>
  <si>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</si>
  <si>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</si>
  <si>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</si>
  <si>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</si>
  <si>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</si>
  <si>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</si>
  <si>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</si>
  <si>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</si>
  <si>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</si>
  <si>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</si>
  <si>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</si>
  <si>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</si>
  <si>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</si>
  <si>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</si>
  <si>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</si>
  <si>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</si>
  <si>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</si>
  <si>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</si>
  <si>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</si>
  <si>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</si>
  <si>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</si>
  <si>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</si>
  <si>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</si>
  <si>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gerente de operacion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</si>
  <si>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</si>
  <si>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</si>
  <si>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</si>
  <si>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</si>
  <si>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</si>
  <si>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</si>
  <si>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</si>
  <si>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</si>
  <si>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</si>
  <si>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</si>
  <si>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</si>
  <si>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</si>
  <si>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</si>
  <si>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</si>
  <si>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</si>
  <si>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</si>
  <si>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el candidato cuenta con estudios de nivel superior en alguna de las areas validas senaladas para el rol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</si>
  <si>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</si>
  <si>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</si>
  <si>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</si>
  <si>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</si>
  <si>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</si>
  <si>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</si>
  <si>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</si>
  <si>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</si>
  <si>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</si>
  <si>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</si>
  <si>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</si>
  <si>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cursos</t>
  </si>
  <si>
    <t>las constancias de cursos estan digitalizadas con nombre coincidente y listas para cotejo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</si>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</sst>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1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6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847725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34"/>
  <sheetViews>
    <sheetView showGridLines="0" tabSelected="1" topLeftCell="D1" zoomScale="115" zoomScaleNormal="115" workbookViewId="0">
      <selection activeCell="E121" sqref="E121:E123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/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/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7</v>
      </c>
      <c r="D6" s="75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6"/>
      <c r="D7" s="75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8.5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/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56</v>
      </c>
      <c r="D30" s="39" t="s">
        <v>57</v>
      </c>
      <c r="E30" s="25" t="s">
        <v>1</v>
      </c>
      <c r="F30" s="26"/>
      <c r="G30" s="25"/>
      <c r="H30" s="26"/>
    </row>
    <row r="31" spans="2:8" ht="42" customHeight="1" x14ac:dyDescent="0.25">
      <c r="B31" s="19">
        <f t="shared" ref="B31:B54" si="1">B30+1</f>
        <v>18</v>
      </c>
      <c r="C31" s="38" t="s">
        <v>58</v>
      </c>
      <c r="D31" s="39" t="s">
        <v>59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60</v>
      </c>
      <c r="D32" s="39" t="s">
        <v>61</v>
      </c>
      <c r="E32" s="25" t="s">
        <v>2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62</v>
      </c>
      <c r="D33" s="30" t="s">
        <v>61</v>
      </c>
      <c r="E33" s="25" t="s">
        <v>1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63</v>
      </c>
      <c r="D34" s="30" t="s">
        <v>61</v>
      </c>
      <c r="E34" s="25" t="s">
        <v>1</v>
      </c>
      <c r="F34" s="26"/>
      <c r="G34" s="25"/>
      <c r="H34" s="26"/>
    </row>
    <row r="35" spans="2:8" ht="42" customHeight="1" x14ac:dyDescent="0.25">
      <c r="B35" s="19">
        <f t="shared" si="1"/>
        <v>22</v>
      </c>
      <c r="C35" s="40" t="s">
        <v>64</v>
      </c>
      <c r="D35" s="30" t="s">
        <v>61</v>
      </c>
      <c r="E35" s="25" t="s">
        <v>2</v>
      </c>
      <c r="F35" s="26"/>
      <c r="G35" s="25"/>
      <c r="H35" s="26"/>
    </row>
    <row r="36" spans="2:8" ht="42" customHeight="1" x14ac:dyDescent="0.25">
      <c r="B36" s="19">
        <f t="shared" si="1"/>
        <v>23</v>
      </c>
      <c r="C36" s="40" t="s">
        <v>65</v>
      </c>
      <c r="D36" s="30" t="s">
        <v>61</v>
      </c>
      <c r="E36" s="25" t="s">
        <v>2</v>
      </c>
      <c r="F36" s="26"/>
      <c r="G36" s="25"/>
      <c r="H36" s="26"/>
    </row>
    <row r="37" spans="2:8" ht="42" customHeight="1" x14ac:dyDescent="0.25">
      <c r="B37" s="19">
        <f t="shared" si="1"/>
        <v>24</v>
      </c>
      <c r="C37" s="40" t="s">
        <v>66</v>
      </c>
      <c r="D37" s="30" t="s">
        <v>61</v>
      </c>
      <c r="E37" s="25" t="s">
        <v>2</v>
      </c>
      <c r="F37" s="26"/>
      <c r="G37" s="25"/>
      <c r="H37" s="26"/>
    </row>
    <row r="38" spans="2:8" ht="42" customHeight="1" x14ac:dyDescent="0.25">
      <c r="B38" s="19">
        <f t="shared" si="1"/>
        <v>25</v>
      </c>
      <c r="C38" s="40" t="s">
        <v>67</v>
      </c>
      <c r="D38" s="30" t="s">
        <v>68</v>
      </c>
      <c r="E38" s="25" t="s">
        <v>2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40" t="s">
        <v>69</v>
      </c>
      <c r="D39" s="30"/>
      <c r="E39" s="25" t="s">
        <v>2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40" t="s">
        <v>70</v>
      </c>
      <c r="D40" s="30"/>
      <c r="E40" s="25" t="s">
        <v>2</v>
      </c>
      <c r="F40" s="26"/>
      <c r="G40" s="25"/>
      <c r="H40" s="26"/>
    </row>
    <row r="41" spans="2:8" ht="42" customHeight="1" x14ac:dyDescent="0.25">
      <c r="B41" s="19">
        <f t="shared" si="1"/>
        <v>28</v>
      </c>
      <c r="C41" s="40" t="s">
        <v>71</v>
      </c>
      <c r="D41" s="30"/>
      <c r="E41" s="25" t="s">
        <v>2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40" t="s">
        <v>72</v>
      </c>
      <c r="D42" s="30"/>
      <c r="E42" s="25" t="s">
        <v>2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40" t="s">
        <v>73</v>
      </c>
      <c r="D43" s="30"/>
      <c r="E43" s="25" t="s">
        <v>2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0" t="s">
        <v>74</v>
      </c>
      <c r="D44" s="30" t="s">
        <v>75</v>
      </c>
      <c r="E44" s="25" t="s">
        <v>2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40" t="s">
        <v>76</v>
      </c>
      <c r="D45" s="30" t="s">
        <v>77</v>
      </c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40" t="s">
        <v>78</v>
      </c>
      <c r="D46" s="30"/>
      <c r="E46" s="25" t="s">
        <v>1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8" t="s">
        <v>79</v>
      </c>
      <c r="D47" s="30"/>
      <c r="E47" s="25" t="s">
        <v>1</v>
      </c>
      <c r="F47" s="26"/>
      <c r="G47" s="25"/>
      <c r="H47" s="26"/>
    </row>
    <row r="48" spans="2:8" x14ac:dyDescent="0.25">
      <c r="B48" s="19">
        <f t="shared" si="1"/>
        <v>35</v>
      </c>
      <c r="C48" s="38" t="s">
        <v>80</v>
      </c>
      <c r="D48" s="39" t="s">
        <v>81</v>
      </c>
      <c r="E48" s="25" t="s">
        <v>1</v>
      </c>
      <c r="F48" s="26"/>
      <c r="G48" s="25"/>
      <c r="H48" s="26"/>
    </row>
    <row r="49" spans="2:8" ht="42" customHeight="1" x14ac:dyDescent="0.25">
      <c r="B49" s="19">
        <f t="shared" si="1"/>
        <v>36</v>
      </c>
      <c r="C49" s="35" t="s">
        <v>82</v>
      </c>
      <c r="D49" s="41" t="s">
        <v>83</v>
      </c>
      <c r="E49" s="25" t="s">
        <v>2</v>
      </c>
      <c r="F49" s="26"/>
      <c r="G49" s="25"/>
      <c r="H49" s="26"/>
    </row>
    <row r="50" spans="2:8" ht="15" customHeight="1" x14ac:dyDescent="0.25">
      <c r="B50" s="22">
        <f t="shared" si="1"/>
        <v>37</v>
      </c>
      <c r="C50" s="34" t="s">
        <v>84</v>
      </c>
      <c r="D50" s="30" t="s">
        <v>85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1"/>
        <v>38</v>
      </c>
      <c r="C51" s="34" t="s">
        <v>86</v>
      </c>
      <c r="D51" s="30" t="s">
        <v>87</v>
      </c>
      <c r="E51" s="25" t="s">
        <v>5</v>
      </c>
      <c r="F51" s="26"/>
      <c r="G51" s="25"/>
      <c r="H51" s="26"/>
    </row>
    <row r="52" spans="2:8" ht="28" customHeight="1" x14ac:dyDescent="0.25">
      <c r="B52" s="19">
        <f t="shared" si="1"/>
        <v>39</v>
      </c>
      <c r="C52" s="34" t="s">
        <v>88</v>
      </c>
      <c r="D52" s="30" t="s">
        <v>89</v>
      </c>
      <c r="E52" s="25" t="s">
        <v>1</v>
      </c>
      <c r="F52" s="26"/>
      <c r="G52" s="25"/>
      <c r="H52" s="26"/>
    </row>
    <row r="53" spans="2:8" ht="70" customHeight="1" x14ac:dyDescent="0.25">
      <c r="B53" s="19">
        <f t="shared" si="1"/>
        <v>40</v>
      </c>
      <c r="C53" s="38" t="s">
        <v>90</v>
      </c>
      <c r="D53" s="30" t="s">
        <v>91</v>
      </c>
      <c r="E53" s="25" t="s">
        <v>2</v>
      </c>
      <c r="F53" s="26"/>
      <c r="G53" s="25"/>
      <c r="H53" s="26"/>
    </row>
    <row r="54" spans="2:8" ht="28" customHeight="1" x14ac:dyDescent="0.25">
      <c r="B54" s="19">
        <f t="shared" si="1"/>
        <v>41</v>
      </c>
      <c r="C54" s="38" t="s">
        <v>92</v>
      </c>
      <c r="D54" s="30" t="s">
        <v>93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54</v>
      </c>
      <c r="C55" s="42" t="s">
        <v>94</v>
      </c>
      <c r="D55" s="37"/>
      <c r="E55" s="32"/>
      <c r="F55" s="32"/>
      <c r="G55" s="32"/>
      <c r="H55" s="32"/>
    </row>
    <row r="56" spans="2:8" ht="42" customHeight="1" x14ac:dyDescent="0.25">
      <c r="B56" s="27">
        <f>B54+1</f>
        <v>42</v>
      </c>
      <c r="C56" s="38" t="s">
        <v>95</v>
      </c>
      <c r="D56" s="30" t="s">
        <v>96</v>
      </c>
      <c r="E56" s="25" t="s">
        <v>1</v>
      </c>
      <c r="F56" s="26"/>
      <c r="G56" s="25"/>
      <c r="H56" s="26"/>
    </row>
    <row r="57" spans="2:8" ht="28" customHeight="1" x14ac:dyDescent="0.25">
      <c r="B57" s="27">
        <f t="shared" ref="B57:B63" si="2">B56+1</f>
        <v>43</v>
      </c>
      <c r="C57" s="38" t="s">
        <v>97</v>
      </c>
      <c r="D57" s="30" t="s">
        <v>98</v>
      </c>
      <c r="E57" s="25" t="s">
        <v>1</v>
      </c>
      <c r="F57" s="26"/>
      <c r="G57" s="25"/>
      <c r="H57" s="26"/>
    </row>
    <row r="58" spans="2:8" ht="28" customHeight="1" x14ac:dyDescent="0.25">
      <c r="B58" s="27">
        <f t="shared" si="2"/>
        <v>44</v>
      </c>
      <c r="C58" s="35" t="s">
        <v>99</v>
      </c>
      <c r="D58" s="30" t="s">
        <v>100</v>
      </c>
      <c r="E58" s="25" t="s">
        <v>1</v>
      </c>
      <c r="F58" s="26"/>
      <c r="G58" s="25"/>
      <c r="H58" s="26"/>
    </row>
    <row r="59" spans="2:8" ht="28" customHeight="1" x14ac:dyDescent="0.25">
      <c r="B59" s="27">
        <f t="shared" si="2"/>
        <v>45</v>
      </c>
      <c r="C59" s="34" t="s">
        <v>101</v>
      </c>
      <c r="D59" s="30" t="s">
        <v>102</v>
      </c>
      <c r="E59" s="25" t="s">
        <v>1</v>
      </c>
      <c r="F59" s="26"/>
      <c r="G59" s="25"/>
      <c r="H59" s="26"/>
    </row>
    <row r="60" spans="2:8" ht="28" customHeight="1" x14ac:dyDescent="0.25">
      <c r="B60" s="27">
        <f t="shared" si="2"/>
        <v>46</v>
      </c>
      <c r="C60" s="35" t="s">
        <v>103</v>
      </c>
      <c r="D60" s="30" t="s">
        <v>104</v>
      </c>
      <c r="E60" s="25" t="s">
        <v>1</v>
      </c>
      <c r="F60" s="26"/>
      <c r="G60" s="25"/>
      <c r="H60" s="26"/>
    </row>
    <row r="61" spans="2:8" ht="42" customHeight="1" x14ac:dyDescent="0.25">
      <c r="B61" s="22">
        <f t="shared" si="2"/>
        <v>47</v>
      </c>
      <c r="C61" s="34" t="s">
        <v>105</v>
      </c>
      <c r="D61" s="30" t="s">
        <v>106</v>
      </c>
      <c r="E61" s="25" t="s">
        <v>5</v>
      </c>
      <c r="F61" s="26"/>
      <c r="G61" s="25"/>
      <c r="H61" s="26"/>
    </row>
    <row r="62" spans="2:8" ht="28" customHeight="1" x14ac:dyDescent="0.25">
      <c r="B62" s="22">
        <f t="shared" si="2"/>
        <v>48</v>
      </c>
      <c r="C62" s="34" t="s">
        <v>107</v>
      </c>
      <c r="D62" s="30" t="s">
        <v>108</v>
      </c>
      <c r="E62" s="25" t="s">
        <v>5</v>
      </c>
      <c r="F62" s="26"/>
      <c r="G62" s="25"/>
      <c r="H62" s="26"/>
    </row>
    <row r="63" spans="2:8" ht="70" customHeight="1" x14ac:dyDescent="0.25">
      <c r="B63" s="27">
        <f t="shared" si="2"/>
        <v>49</v>
      </c>
      <c r="C63" s="34" t="s">
        <v>109</v>
      </c>
      <c r="D63" s="30" t="s">
        <v>110</v>
      </c>
      <c r="E63" s="25" t="s">
        <v>1</v>
      </c>
      <c r="F63" s="26"/>
      <c r="G63" s="25"/>
      <c r="H63" s="26"/>
    </row>
    <row r="64" spans="2:8" ht="15" customHeight="1" x14ac:dyDescent="0.25">
      <c r="B64" s="19" t="s">
        <v>54</v>
      </c>
      <c r="C64" s="42" t="s">
        <v>111</v>
      </c>
      <c r="D64" s="37"/>
      <c r="E64" s="32"/>
      <c r="F64" s="32"/>
      <c r="G64" s="32"/>
      <c r="H64" s="32"/>
    </row>
    <row r="65" spans="2:8" ht="28" customHeight="1" x14ac:dyDescent="0.25">
      <c r="B65" s="19">
        <f>B63+1</f>
        <v>50</v>
      </c>
      <c r="C65" s="43" t="s">
        <v>112</v>
      </c>
      <c r="D65" s="30" t="s">
        <v>113</v>
      </c>
      <c r="E65" s="25" t="s">
        <v>2</v>
      </c>
      <c r="F65" s="26"/>
      <c r="G65" s="25"/>
      <c r="H65" s="26"/>
    </row>
    <row r="66" spans="2:8" ht="38.15" customHeight="1" x14ac:dyDescent="0.25">
      <c r="B66" s="27">
        <f>B65+1</f>
        <v>51</v>
      </c>
      <c r="C66" s="44" t="s">
        <v>114</v>
      </c>
      <c r="D66" s="30" t="s">
        <v>115</v>
      </c>
      <c r="E66" s="25" t="s">
        <v>1</v>
      </c>
      <c r="F66" s="26"/>
      <c r="G66" s="25"/>
      <c r="H66" s="26"/>
    </row>
    <row r="67" spans="2:8" ht="70" customHeight="1" x14ac:dyDescent="0.25">
      <c r="B67" s="19">
        <f>B66+1</f>
        <v>52</v>
      </c>
      <c r="C67" s="43" t="s">
        <v>116</v>
      </c>
      <c r="D67" s="30" t="s">
        <v>117</v>
      </c>
      <c r="E67" s="25" t="s">
        <v>1</v>
      </c>
      <c r="F67" s="26"/>
      <c r="G67" s="25"/>
      <c r="H67" s="26"/>
    </row>
    <row r="68" spans="2:8" ht="42" customHeight="1" x14ac:dyDescent="0.25">
      <c r="B68" s="19">
        <f>B67+1</f>
        <v>53</v>
      </c>
      <c r="C68" s="43" t="s">
        <v>118</v>
      </c>
      <c r="D68" s="30" t="s">
        <v>119</v>
      </c>
      <c r="E68" s="25" t="s">
        <v>2</v>
      </c>
      <c r="F68" s="26"/>
      <c r="G68" s="25"/>
      <c r="H68" s="26"/>
    </row>
    <row r="69" spans="2:8" x14ac:dyDescent="0.25">
      <c r="B69" s="19" t="s">
        <v>18</v>
      </c>
      <c r="C69" s="20" t="s">
        <v>120</v>
      </c>
      <c r="D69" s="11" t="s">
        <v>41</v>
      </c>
      <c r="E69" s="32"/>
      <c r="F69" s="32"/>
      <c r="G69" s="32"/>
      <c r="H69" s="32"/>
    </row>
    <row r="70" spans="2:8" ht="98" customHeight="1" x14ac:dyDescent="0.25">
      <c r="B70" s="27">
        <f>B68+1</f>
        <v>54</v>
      </c>
      <c r="C70" s="34" t="s">
        <v>121</v>
      </c>
      <c r="D70" s="45" t="s">
        <v>122</v>
      </c>
      <c r="E70" s="25" t="s">
        <v>1</v>
      </c>
      <c r="F70" s="26"/>
      <c r="G70" s="25"/>
      <c r="H70" s="26"/>
    </row>
    <row r="71" spans="2:8" x14ac:dyDescent="0.25">
      <c r="B71" s="19">
        <f t="shared" ref="B71:B89" si="3">B70+1</f>
        <v>55</v>
      </c>
      <c r="C71" s="38" t="s">
        <v>123</v>
      </c>
      <c r="D71" s="46" t="s">
        <v>124</v>
      </c>
      <c r="E71" s="25" t="s">
        <v>2</v>
      </c>
      <c r="F71" s="26"/>
      <c r="G71" s="25"/>
      <c r="H71" s="26"/>
    </row>
    <row r="72" spans="2:8" ht="28" customHeight="1" x14ac:dyDescent="0.25">
      <c r="B72" s="19">
        <f t="shared" si="3"/>
        <v>56</v>
      </c>
      <c r="C72" s="38" t="s">
        <v>125</v>
      </c>
      <c r="D72" s="46" t="s">
        <v>124</v>
      </c>
      <c r="E72" s="25" t="s">
        <v>1</v>
      </c>
      <c r="F72" s="26"/>
      <c r="G72" s="25"/>
      <c r="H72" s="26"/>
    </row>
    <row r="73" spans="2:8" ht="28" customHeight="1" x14ac:dyDescent="0.25">
      <c r="B73" s="19">
        <f t="shared" si="3"/>
        <v>57</v>
      </c>
      <c r="C73" s="38" t="s">
        <v>126</v>
      </c>
      <c r="D73" s="46" t="s">
        <v>124</v>
      </c>
      <c r="E73" s="25" t="s">
        <v>2</v>
      </c>
      <c r="F73" s="26"/>
      <c r="G73" s="25"/>
      <c r="H73" s="26"/>
    </row>
    <row r="74" spans="2:8" ht="28" customHeight="1" x14ac:dyDescent="0.25">
      <c r="B74" s="19">
        <f t="shared" si="3"/>
        <v>58</v>
      </c>
      <c r="C74" s="38" t="s">
        <v>127</v>
      </c>
      <c r="D74" s="46" t="s">
        <v>124</v>
      </c>
      <c r="E74" s="25" t="s">
        <v>2</v>
      </c>
      <c r="F74" s="26"/>
      <c r="G74" s="25"/>
      <c r="H74" s="26"/>
    </row>
    <row r="75" spans="2:8" ht="42" customHeight="1" x14ac:dyDescent="0.25">
      <c r="B75" s="19">
        <f t="shared" si="3"/>
        <v>59</v>
      </c>
      <c r="C75" s="47" t="s">
        <v>128</v>
      </c>
      <c r="D75" s="30" t="s">
        <v>129</v>
      </c>
      <c r="E75" s="25" t="s">
        <v>1</v>
      </c>
      <c r="F75" s="26"/>
      <c r="G75" s="25"/>
      <c r="H75" s="26"/>
    </row>
    <row r="76" spans="2:8" x14ac:dyDescent="0.25">
      <c r="B76" s="19">
        <f t="shared" si="3"/>
        <v>60</v>
      </c>
      <c r="C76" s="48" t="s">
        <v>130</v>
      </c>
      <c r="D76" s="30" t="s">
        <v>61</v>
      </c>
      <c r="E76" s="25" t="s">
        <v>2</v>
      </c>
      <c r="F76" s="26"/>
      <c r="G76" s="25"/>
      <c r="H76" s="26"/>
    </row>
    <row r="77" spans="2:8" x14ac:dyDescent="0.25">
      <c r="B77" s="19">
        <f t="shared" si="3"/>
        <v>61</v>
      </c>
      <c r="C77" s="48" t="s">
        <v>131</v>
      </c>
      <c r="D77" s="30" t="s">
        <v>61</v>
      </c>
      <c r="E77" s="25" t="s">
        <v>2</v>
      </c>
      <c r="F77" s="26"/>
      <c r="G77" s="25"/>
      <c r="H77" s="26"/>
    </row>
    <row r="78" spans="2:8" ht="28" customHeight="1" x14ac:dyDescent="0.25">
      <c r="B78" s="19">
        <f t="shared" si="3"/>
        <v>62</v>
      </c>
      <c r="C78" s="48" t="s">
        <v>132</v>
      </c>
      <c r="D78" s="30" t="s">
        <v>133</v>
      </c>
      <c r="E78" s="25" t="s">
        <v>2</v>
      </c>
      <c r="F78" s="26"/>
      <c r="G78" s="25"/>
      <c r="H78" s="26"/>
    </row>
    <row r="79" spans="2:8" ht="28" customHeight="1" x14ac:dyDescent="0.25">
      <c r="B79" s="19">
        <f t="shared" si="3"/>
        <v>63</v>
      </c>
      <c r="C79" s="48" t="s">
        <v>134</v>
      </c>
      <c r="D79" s="30" t="s">
        <v>135</v>
      </c>
      <c r="E79" s="25" t="s">
        <v>2</v>
      </c>
      <c r="F79" s="26"/>
      <c r="G79" s="25"/>
      <c r="H79" s="26"/>
    </row>
    <row r="80" spans="2:8" ht="42" customHeight="1" x14ac:dyDescent="0.25">
      <c r="B80" s="19">
        <f t="shared" si="3"/>
        <v>64</v>
      </c>
      <c r="C80" s="47" t="s">
        <v>136</v>
      </c>
      <c r="D80" s="30" t="s">
        <v>129</v>
      </c>
      <c r="E80" s="25" t="s">
        <v>1</v>
      </c>
      <c r="F80" s="26"/>
      <c r="G80" s="25"/>
      <c r="H80" s="26"/>
    </row>
    <row r="81" spans="2:8" x14ac:dyDescent="0.25">
      <c r="B81" s="19">
        <f t="shared" si="3"/>
        <v>65</v>
      </c>
      <c r="C81" s="48" t="s">
        <v>130</v>
      </c>
      <c r="D81" s="30" t="s">
        <v>61</v>
      </c>
      <c r="E81" s="25" t="s">
        <v>2</v>
      </c>
      <c r="F81" s="26"/>
      <c r="G81" s="25"/>
      <c r="H81" s="26"/>
    </row>
    <row r="82" spans="2:8" x14ac:dyDescent="0.25">
      <c r="B82" s="19">
        <f t="shared" si="3"/>
        <v>66</v>
      </c>
      <c r="C82" s="48" t="s">
        <v>131</v>
      </c>
      <c r="D82" s="30" t="s">
        <v>61</v>
      </c>
      <c r="E82" s="25" t="s">
        <v>2</v>
      </c>
      <c r="F82" s="26"/>
      <c r="G82" s="25"/>
      <c r="H82" s="26"/>
    </row>
    <row r="83" spans="2:8" ht="28" customHeight="1" x14ac:dyDescent="0.25">
      <c r="B83" s="19">
        <f t="shared" si="3"/>
        <v>67</v>
      </c>
      <c r="C83" s="48" t="s">
        <v>132</v>
      </c>
      <c r="D83" s="30" t="s">
        <v>133</v>
      </c>
      <c r="E83" s="25" t="s">
        <v>2</v>
      </c>
      <c r="F83" s="26"/>
      <c r="G83" s="25"/>
      <c r="H83" s="26"/>
    </row>
    <row r="84" spans="2:8" ht="28" customHeight="1" x14ac:dyDescent="0.25">
      <c r="B84" s="19">
        <f t="shared" si="3"/>
        <v>68</v>
      </c>
      <c r="C84" s="48" t="s">
        <v>134</v>
      </c>
      <c r="D84" s="30" t="s">
        <v>135</v>
      </c>
      <c r="E84" s="25" t="s">
        <v>2</v>
      </c>
      <c r="F84" s="26"/>
      <c r="G84" s="25"/>
      <c r="H84" s="26"/>
    </row>
    <row r="85" spans="2:8" ht="42" customHeight="1" x14ac:dyDescent="0.25">
      <c r="B85" s="19">
        <f t="shared" si="3"/>
        <v>69</v>
      </c>
      <c r="C85" s="47" t="s">
        <v>137</v>
      </c>
      <c r="D85" s="30" t="s">
        <v>129</v>
      </c>
      <c r="E85" s="25" t="s">
        <v>2</v>
      </c>
      <c r="F85" s="26"/>
      <c r="G85" s="25"/>
      <c r="H85" s="26"/>
    </row>
    <row r="86" spans="2:8" x14ac:dyDescent="0.25">
      <c r="B86" s="19">
        <f t="shared" si="3"/>
        <v>70</v>
      </c>
      <c r="C86" s="48" t="s">
        <v>130</v>
      </c>
      <c r="D86" s="30" t="s">
        <v>61</v>
      </c>
      <c r="E86" s="25" t="s">
        <v>2</v>
      </c>
      <c r="F86" s="26"/>
      <c r="G86" s="25"/>
      <c r="H86" s="26"/>
    </row>
    <row r="87" spans="2:8" x14ac:dyDescent="0.25">
      <c r="B87" s="19">
        <f t="shared" si="3"/>
        <v>71</v>
      </c>
      <c r="C87" s="48" t="s">
        <v>131</v>
      </c>
      <c r="D87" s="30" t="s">
        <v>61</v>
      </c>
      <c r="E87" s="25" t="s">
        <v>2</v>
      </c>
      <c r="F87" s="26"/>
      <c r="G87" s="25"/>
      <c r="H87" s="26"/>
    </row>
    <row r="88" spans="2:8" ht="28" customHeight="1" x14ac:dyDescent="0.25">
      <c r="B88" s="19">
        <f t="shared" si="3"/>
        <v>72</v>
      </c>
      <c r="C88" s="48" t="s">
        <v>132</v>
      </c>
      <c r="D88" s="30" t="s">
        <v>133</v>
      </c>
      <c r="E88" s="25" t="s">
        <v>2</v>
      </c>
      <c r="F88" s="26"/>
      <c r="G88" s="25"/>
      <c r="H88" s="26"/>
    </row>
    <row r="89" spans="2:8" ht="28" customHeight="1" x14ac:dyDescent="0.25">
      <c r="B89" s="19">
        <f t="shared" si="3"/>
        <v>73</v>
      </c>
      <c r="C89" s="48" t="s">
        <v>134</v>
      </c>
      <c r="D89" s="30" t="s">
        <v>135</v>
      </c>
      <c r="E89" s="25" t="s">
        <v>2</v>
      </c>
      <c r="F89" s="26"/>
      <c r="G89" s="25"/>
      <c r="H89" s="26"/>
    </row>
    <row r="90" spans="2:8" x14ac:dyDescent="0.25">
      <c r="B90" s="19" t="s">
        <v>18</v>
      </c>
      <c r="C90" s="49" t="s">
        <v>138</v>
      </c>
      <c r="D90" s="11" t="s">
        <v>41</v>
      </c>
      <c r="E90" s="32"/>
      <c r="F90" s="32"/>
      <c r="G90" s="32"/>
      <c r="H90" s="32"/>
    </row>
    <row r="91" spans="2:8" ht="42" customHeight="1" x14ac:dyDescent="0.25">
      <c r="B91" s="27">
        <f>B89+1</f>
        <v>74</v>
      </c>
      <c r="C91" s="50" t="s">
        <v>139</v>
      </c>
      <c r="D91" s="39" t="s">
        <v>140</v>
      </c>
      <c r="E91" s="25" t="s">
        <v>1</v>
      </c>
      <c r="F91" s="26"/>
      <c r="G91" s="25"/>
      <c r="H91" s="26"/>
    </row>
    <row r="92" spans="2:8" x14ac:dyDescent="0.25">
      <c r="B92" s="19">
        <f t="shared" ref="B92:B109" si="4">B91+1</f>
        <v>75</v>
      </c>
      <c r="C92" s="38" t="s">
        <v>141</v>
      </c>
      <c r="D92" s="51" t="s">
        <v>142</v>
      </c>
      <c r="E92" s="25" t="s">
        <v>2</v>
      </c>
      <c r="F92" s="26"/>
      <c r="G92" s="25"/>
      <c r="H92" s="26"/>
    </row>
    <row r="93" spans="2:8" x14ac:dyDescent="0.25">
      <c r="B93" s="19">
        <f t="shared" si="4"/>
        <v>76</v>
      </c>
      <c r="C93" s="48" t="s">
        <v>143</v>
      </c>
      <c r="D93" s="39" t="s">
        <v>61</v>
      </c>
      <c r="E93" s="25" t="s">
        <v>2</v>
      </c>
      <c r="F93" s="26"/>
      <c r="G93" s="25"/>
      <c r="H93" s="26"/>
    </row>
    <row r="94" spans="2:8" x14ac:dyDescent="0.25">
      <c r="B94" s="19">
        <f t="shared" si="4"/>
        <v>77</v>
      </c>
      <c r="C94" s="48" t="s">
        <v>144</v>
      </c>
      <c r="D94" s="39" t="s">
        <v>61</v>
      </c>
      <c r="E94" s="25" t="s">
        <v>2</v>
      </c>
      <c r="F94" s="26"/>
      <c r="G94" s="25"/>
      <c r="H94" s="26"/>
    </row>
    <row r="95" spans="2:8" x14ac:dyDescent="0.25">
      <c r="B95" s="19">
        <f t="shared" si="4"/>
        <v>78</v>
      </c>
      <c r="C95" s="48" t="s">
        <v>145</v>
      </c>
      <c r="D95" s="39" t="s">
        <v>104</v>
      </c>
      <c r="E95" s="25" t="s">
        <v>2</v>
      </c>
      <c r="F95" s="26"/>
      <c r="G95" s="25"/>
      <c r="H95" s="26"/>
    </row>
    <row r="96" spans="2:8" x14ac:dyDescent="0.25">
      <c r="B96" s="19">
        <f t="shared" si="4"/>
        <v>79</v>
      </c>
      <c r="C96" s="48" t="s">
        <v>146</v>
      </c>
      <c r="D96" s="39" t="s">
        <v>147</v>
      </c>
      <c r="E96" s="25" t="s">
        <v>2</v>
      </c>
      <c r="F96" s="26"/>
      <c r="G96" s="25"/>
      <c r="H96" s="26"/>
    </row>
    <row r="97" spans="2:29" ht="28" customHeight="1" x14ac:dyDescent="0.25">
      <c r="B97" s="19">
        <f t="shared" si="4"/>
        <v>80</v>
      </c>
      <c r="C97" s="48" t="s">
        <v>148</v>
      </c>
      <c r="D97" s="39"/>
      <c r="E97" s="25" t="s">
        <v>2</v>
      </c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ht="28" customHeight="1" x14ac:dyDescent="0.25">
      <c r="B98" s="19">
        <f t="shared" si="4"/>
        <v>81</v>
      </c>
      <c r="C98" s="38" t="s">
        <v>149</v>
      </c>
      <c r="D98" s="51" t="s">
        <v>142</v>
      </c>
      <c r="E98" s="25" t="s">
        <v>2</v>
      </c>
      <c r="F98" s="26"/>
      <c r="G98" s="25"/>
      <c r="H98" s="26"/>
    </row>
    <row r="99" spans="2:29" x14ac:dyDescent="0.25">
      <c r="B99" s="19">
        <f t="shared" si="4"/>
        <v>82</v>
      </c>
      <c r="C99" s="48" t="s">
        <v>143</v>
      </c>
      <c r="D99" s="30" t="s">
        <v>61</v>
      </c>
      <c r="E99" s="25" t="s">
        <v>2</v>
      </c>
      <c r="F99" s="26"/>
      <c r="G99" s="25"/>
      <c r="H99" s="26"/>
    </row>
    <row r="100" spans="2:29" x14ac:dyDescent="0.25">
      <c r="B100" s="19">
        <f t="shared" si="4"/>
        <v>83</v>
      </c>
      <c r="C100" s="48" t="s">
        <v>144</v>
      </c>
      <c r="D100" s="30" t="s">
        <v>61</v>
      </c>
      <c r="E100" s="25" t="s">
        <v>2</v>
      </c>
      <c r="F100" s="26"/>
      <c r="G100" s="25"/>
      <c r="H100" s="26"/>
    </row>
    <row r="101" spans="2:29" x14ac:dyDescent="0.25">
      <c r="B101" s="19">
        <f t="shared" si="4"/>
        <v>84</v>
      </c>
      <c r="C101" s="48" t="s">
        <v>145</v>
      </c>
      <c r="D101" s="30" t="s">
        <v>104</v>
      </c>
      <c r="E101" s="25" t="s">
        <v>2</v>
      </c>
      <c r="F101" s="26"/>
      <c r="G101" s="25"/>
      <c r="H101" s="26"/>
    </row>
    <row r="102" spans="2:29" x14ac:dyDescent="0.25">
      <c r="B102" s="19">
        <f t="shared" si="4"/>
        <v>85</v>
      </c>
      <c r="C102" s="48" t="s">
        <v>146</v>
      </c>
      <c r="D102" s="30" t="s">
        <v>147</v>
      </c>
      <c r="E102" s="25" t="s">
        <v>2</v>
      </c>
      <c r="F102" s="26"/>
      <c r="G102" s="25"/>
      <c r="H102" s="26"/>
    </row>
    <row r="103" spans="2:29" ht="28" customHeight="1" x14ac:dyDescent="0.25">
      <c r="B103" s="19">
        <f t="shared" si="4"/>
        <v>86</v>
      </c>
      <c r="C103" s="48" t="s">
        <v>148</v>
      </c>
      <c r="D103" s="30"/>
      <c r="E103" s="25" t="s">
        <v>2</v>
      </c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customHeight="1" x14ac:dyDescent="0.25">
      <c r="B104" s="19">
        <f t="shared" si="4"/>
        <v>87</v>
      </c>
      <c r="C104" s="38" t="s">
        <v>150</v>
      </c>
      <c r="D104" s="30" t="s">
        <v>151</v>
      </c>
      <c r="E104" s="25" t="s">
        <v>2</v>
      </c>
      <c r="F104" s="26"/>
      <c r="G104" s="25"/>
      <c r="H104" s="26"/>
    </row>
    <row r="105" spans="2:29" x14ac:dyDescent="0.25">
      <c r="B105" s="19">
        <f t="shared" si="4"/>
        <v>88</v>
      </c>
      <c r="C105" s="48" t="s">
        <v>143</v>
      </c>
      <c r="D105" s="30" t="s">
        <v>61</v>
      </c>
      <c r="E105" s="25" t="s">
        <v>2</v>
      </c>
      <c r="F105" s="26"/>
      <c r="G105" s="25"/>
      <c r="H105" s="26"/>
    </row>
    <row r="106" spans="2:29" x14ac:dyDescent="0.25">
      <c r="B106" s="19">
        <f t="shared" si="4"/>
        <v>89</v>
      </c>
      <c r="C106" s="48" t="s">
        <v>144</v>
      </c>
      <c r="D106" s="30" t="s">
        <v>61</v>
      </c>
      <c r="E106" s="25" t="s">
        <v>2</v>
      </c>
      <c r="F106" s="26"/>
      <c r="G106" s="25"/>
      <c r="H106" s="26"/>
    </row>
    <row r="107" spans="2:29" x14ac:dyDescent="0.25">
      <c r="B107" s="19">
        <f t="shared" si="4"/>
        <v>90</v>
      </c>
      <c r="C107" s="48" t="s">
        <v>145</v>
      </c>
      <c r="D107" s="30" t="s">
        <v>104</v>
      </c>
      <c r="E107" s="25" t="s">
        <v>2</v>
      </c>
      <c r="F107" s="26"/>
      <c r="G107" s="25"/>
      <c r="H107" s="26"/>
    </row>
    <row r="108" spans="2:29" x14ac:dyDescent="0.25">
      <c r="B108" s="19">
        <f t="shared" si="4"/>
        <v>91</v>
      </c>
      <c r="C108" s="48" t="s">
        <v>146</v>
      </c>
      <c r="D108" s="30" t="s">
        <v>147</v>
      </c>
      <c r="E108" s="25" t="s">
        <v>2</v>
      </c>
      <c r="F108" s="26"/>
      <c r="G108" s="25"/>
      <c r="H108" s="26"/>
    </row>
    <row r="109" spans="2:29" ht="28" customHeight="1" x14ac:dyDescent="0.25">
      <c r="B109" s="19">
        <f t="shared" si="4"/>
        <v>92</v>
      </c>
      <c r="C109" s="48" t="s">
        <v>148</v>
      </c>
      <c r="D109" s="30"/>
      <c r="E109" s="25" t="s">
        <v>2</v>
      </c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x14ac:dyDescent="0.25">
      <c r="B110" s="19" t="s">
        <v>18</v>
      </c>
      <c r="C110" s="20" t="s">
        <v>152</v>
      </c>
      <c r="D110" s="11" t="s">
        <v>41</v>
      </c>
      <c r="E110" s="32"/>
      <c r="F110" s="32"/>
      <c r="G110" s="32"/>
      <c r="H110" s="32"/>
    </row>
    <row r="111" spans="2:29" ht="44.15" customHeight="1" x14ac:dyDescent="0.25">
      <c r="B111" s="19">
        <f>B109+1</f>
        <v>93</v>
      </c>
      <c r="C111" s="38" t="s">
        <v>153</v>
      </c>
      <c r="D111" s="30" t="s">
        <v>154</v>
      </c>
      <c r="E111" s="25" t="s">
        <v>1</v>
      </c>
      <c r="F111" s="26"/>
      <c r="G111" s="25"/>
      <c r="H111" s="26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2:29" ht="44.15" customHeight="1" x14ac:dyDescent="0.25">
      <c r="B112" s="19">
        <f t="shared" ref="B112:B119" si="5">B111+1</f>
        <v>94</v>
      </c>
      <c r="C112" s="38" t="s">
        <v>155</v>
      </c>
      <c r="D112" s="30" t="s">
        <v>156</v>
      </c>
      <c r="E112" s="25" t="s">
        <v>1</v>
      </c>
      <c r="F112" s="26"/>
      <c r="G112" s="25"/>
      <c r="H112" s="26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 spans="2:16384" ht="44.15" customHeight="1" x14ac:dyDescent="0.25">
      <c r="B113" s="19">
        <f t="shared" si="5"/>
        <v>95</v>
      </c>
      <c r="C113" s="38" t="s">
        <v>157</v>
      </c>
      <c r="D113" s="30" t="s">
        <v>158</v>
      </c>
      <c r="E113" s="25" t="s">
        <v>2</v>
      </c>
      <c r="F113" s="26"/>
      <c r="G113" s="25"/>
      <c r="H113" s="26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2:16384" ht="44.15" customHeight="1" x14ac:dyDescent="0.25">
      <c r="B114" s="19">
        <f t="shared" si="5"/>
        <v>96</v>
      </c>
      <c r="C114" s="38" t="s">
        <v>159</v>
      </c>
      <c r="D114" s="30" t="s">
        <v>160</v>
      </c>
      <c r="E114" s="25" t="s">
        <v>1</v>
      </c>
      <c r="F114" s="26"/>
      <c r="G114" s="25"/>
      <c r="H114" s="2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 spans="2:16384" ht="44.15" customHeight="1" x14ac:dyDescent="0.25">
      <c r="B115" s="19">
        <f t="shared" si="5"/>
        <v>97</v>
      </c>
      <c r="C115" s="38" t="s">
        <v>161</v>
      </c>
      <c r="D115" s="30" t="s">
        <v>162</v>
      </c>
      <c r="E115" s="25" t="s">
        <v>2</v>
      </c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16384" ht="44.15" customHeight="1" x14ac:dyDescent="0.25">
      <c r="B116" s="19">
        <f t="shared" si="5"/>
        <v>98</v>
      </c>
      <c r="C116" s="38" t="s">
        <v>163</v>
      </c>
      <c r="D116" s="30" t="s">
        <v>164</v>
      </c>
      <c r="E116" s="25" t="s">
        <v>2</v>
      </c>
      <c r="F116" s="26"/>
      <c r="G116" s="25"/>
      <c r="H116" s="26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2:16384" ht="44.15" customHeight="1" x14ac:dyDescent="0.25">
      <c r="B117" s="19">
        <f t="shared" si="5"/>
        <v>99</v>
      </c>
      <c r="C117" s="38" t="s">
        <v>165</v>
      </c>
      <c r="D117" s="30" t="s">
        <v>166</v>
      </c>
      <c r="E117" s="25" t="s">
        <v>2</v>
      </c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16384" ht="28" customHeight="1" x14ac:dyDescent="0.25">
      <c r="B118" s="19">
        <f t="shared" si="5"/>
        <v>100</v>
      </c>
      <c r="C118" s="50" t="s">
        <v>167</v>
      </c>
      <c r="D118" s="30" t="s">
        <v>61</v>
      </c>
      <c r="E118" s="25" t="s">
        <v>1</v>
      </c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16384" ht="28" customHeight="1" x14ac:dyDescent="0.25">
      <c r="B119" s="19">
        <f t="shared" si="5"/>
        <v>101</v>
      </c>
      <c r="C119" s="50" t="s">
        <v>168</v>
      </c>
      <c r="D119" s="30" t="s">
        <v>61</v>
      </c>
      <c r="E119" s="25" t="s">
        <v>1</v>
      </c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16384" s="53" customFormat="1" x14ac:dyDescent="0.25">
      <c r="B120" s="19" t="s">
        <v>18</v>
      </c>
      <c r="C120" s="20" t="s">
        <v>169</v>
      </c>
      <c r="D120" s="11"/>
      <c r="E120" s="32"/>
      <c r="F120" s="3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  <c r="WZG120" s="2"/>
      <c r="WZH120" s="2"/>
      <c r="WZI120" s="2"/>
      <c r="WZJ120" s="2"/>
      <c r="WZK120" s="2"/>
      <c r="WZL120" s="2"/>
      <c r="WZM120" s="2"/>
      <c r="WZN120" s="2"/>
      <c r="WZO120" s="2"/>
      <c r="WZP120" s="2"/>
      <c r="WZQ120" s="2"/>
      <c r="WZR120" s="2"/>
      <c r="WZS120" s="2"/>
      <c r="WZT120" s="2"/>
      <c r="WZU120" s="2"/>
      <c r="WZV120" s="2"/>
      <c r="WZW120" s="2"/>
      <c r="WZX120" s="2"/>
      <c r="WZY120" s="2"/>
      <c r="WZZ120" s="2"/>
      <c r="XAA120" s="2"/>
      <c r="XAB120" s="2"/>
      <c r="XAC120" s="2"/>
      <c r="XAD120" s="2"/>
      <c r="XAE120" s="2"/>
      <c r="XAF120" s="2"/>
      <c r="XAG120" s="2"/>
      <c r="XAH120" s="2"/>
      <c r="XAI120" s="2"/>
      <c r="XAJ120" s="2"/>
      <c r="XAK120" s="2"/>
      <c r="XAL120" s="2"/>
      <c r="XAM120" s="2"/>
      <c r="XAN120" s="2"/>
      <c r="XAO120" s="2"/>
      <c r="XAP120" s="2"/>
      <c r="XAQ120" s="2"/>
      <c r="XAR120" s="2"/>
      <c r="XAS120" s="2"/>
      <c r="XAT120" s="2"/>
      <c r="XAU120" s="2"/>
      <c r="XAV120" s="2"/>
      <c r="XAW120" s="2"/>
      <c r="XAX120" s="2"/>
      <c r="XAY120" s="2"/>
      <c r="XAZ120" s="2"/>
      <c r="XBA120" s="2"/>
      <c r="XBB120" s="2"/>
      <c r="XBC120" s="2"/>
      <c r="XBD120" s="2"/>
      <c r="XBE120" s="2"/>
      <c r="XBF120" s="2"/>
      <c r="XBG120" s="2"/>
      <c r="XBH120" s="2"/>
      <c r="XBI120" s="2"/>
      <c r="XBJ120" s="2"/>
      <c r="XBK120" s="2"/>
      <c r="XBL120" s="2"/>
      <c r="XBM120" s="2"/>
      <c r="XBN120" s="2"/>
      <c r="XBO120" s="2"/>
      <c r="XBP120" s="2"/>
      <c r="XBQ120" s="2"/>
      <c r="XBR120" s="2"/>
      <c r="XBS120" s="2"/>
      <c r="XBT120" s="2"/>
      <c r="XBU120" s="2"/>
      <c r="XBV120" s="2"/>
      <c r="XBW120" s="2"/>
      <c r="XBX120" s="2"/>
      <c r="XBY120" s="2"/>
      <c r="XBZ120" s="2"/>
      <c r="XCA120" s="2"/>
      <c r="XCB120" s="2"/>
      <c r="XCC120" s="2"/>
      <c r="XCD120" s="2"/>
      <c r="XCE120" s="2"/>
      <c r="XCF120" s="2"/>
      <c r="XCG120" s="2"/>
      <c r="XCH120" s="2"/>
      <c r="XCI120" s="2"/>
      <c r="XCJ120" s="2"/>
      <c r="XCK120" s="2"/>
      <c r="XCL120" s="2"/>
      <c r="XCM120" s="2"/>
      <c r="XCN120" s="2"/>
      <c r="XCO120" s="2"/>
      <c r="XCP120" s="2"/>
      <c r="XCQ120" s="2"/>
      <c r="XCR120" s="2"/>
      <c r="XCS120" s="2"/>
      <c r="XCT120" s="2"/>
      <c r="XCU120" s="2"/>
      <c r="XCV120" s="2"/>
      <c r="XCW120" s="2"/>
      <c r="XCX120" s="2"/>
      <c r="XCY120" s="2"/>
      <c r="XCZ120" s="2"/>
      <c r="XDA120" s="2"/>
      <c r="XDB120" s="2"/>
      <c r="XDC120" s="2"/>
      <c r="XDD120" s="2"/>
      <c r="XDE120" s="2"/>
      <c r="XDF120" s="2"/>
      <c r="XDG120" s="2"/>
      <c r="XDH120" s="2"/>
      <c r="XDI120" s="2"/>
      <c r="XDJ120" s="2"/>
      <c r="XDK120" s="2"/>
      <c r="XDL120" s="2"/>
      <c r="XDM120" s="2"/>
      <c r="XDN120" s="2"/>
      <c r="XDO120" s="2"/>
      <c r="XDP120" s="2"/>
      <c r="XDQ120" s="2"/>
      <c r="XDR120" s="2"/>
      <c r="XDS120" s="2"/>
      <c r="XDT120" s="2"/>
      <c r="XDU120" s="2"/>
      <c r="XDV120" s="2"/>
      <c r="XDW120" s="2"/>
      <c r="XDX120" s="2"/>
      <c r="XDY120" s="2"/>
      <c r="XDZ120" s="2"/>
      <c r="XEA120" s="2"/>
      <c r="XEB120" s="2"/>
      <c r="XEC120" s="2"/>
      <c r="XED120" s="2"/>
      <c r="XEE120" s="2"/>
      <c r="XEF120" s="2"/>
      <c r="XEG120" s="2"/>
      <c r="XEH120" s="2"/>
      <c r="XEI120" s="2"/>
      <c r="XEJ120" s="2"/>
      <c r="XEK120" s="2"/>
      <c r="XEL120" s="2"/>
      <c r="XEM120" s="2"/>
      <c r="XEN120" s="2"/>
      <c r="XEO120" s="2"/>
      <c r="XEP120" s="2"/>
      <c r="XEQ120" s="2"/>
      <c r="XER120" s="2"/>
      <c r="XES120" s="2"/>
      <c r="XET120" s="2"/>
      <c r="XEU120" s="2"/>
      <c r="XEV120" s="2"/>
      <c r="XEW120" s="2"/>
      <c r="XEX120" s="2"/>
      <c r="XEY120" s="2"/>
      <c r="XEZ120" s="2"/>
      <c r="XFA120" s="2"/>
      <c r="XFB120" s="2"/>
      <c r="XFC120" s="2"/>
      <c r="XFD120" s="2"/>
    </row>
    <row r="121" spans="2:16384" ht="28" customHeight="1" x14ac:dyDescent="0.25">
      <c r="B121" s="19">
        <f>B119+1</f>
        <v>102</v>
      </c>
      <c r="C121" s="54" t="s">
        <v>170</v>
      </c>
      <c r="D121" s="24" t="s">
        <v>171</v>
      </c>
      <c r="E121" s="25" t="s">
        <v>5</v>
      </c>
      <c r="F121" s="26"/>
      <c r="G121" s="25"/>
      <c r="H121" s="26"/>
    </row>
    <row r="122" spans="2:16384" ht="28" customHeight="1" x14ac:dyDescent="0.25">
      <c r="B122" s="19">
        <f>B121+1</f>
        <v>103</v>
      </c>
      <c r="C122" s="54" t="s">
        <v>172</v>
      </c>
      <c r="D122" s="24" t="s">
        <v>173</v>
      </c>
      <c r="E122" s="25" t="s">
        <v>5</v>
      </c>
      <c r="F122" s="26"/>
      <c r="G122" s="25"/>
      <c r="H122" s="26"/>
    </row>
    <row r="123" spans="2:16384" ht="86.15" customHeight="1" x14ac:dyDescent="0.25">
      <c r="B123" s="19">
        <f>B122+1</f>
        <v>104</v>
      </c>
      <c r="C123" s="54" t="s">
        <v>174</v>
      </c>
      <c r="D123" s="24" t="s">
        <v>175</v>
      </c>
      <c r="E123" s="25" t="s">
        <v>5</v>
      </c>
      <c r="F123" s="26"/>
      <c r="G123" s="25"/>
      <c r="H123" s="26"/>
    </row>
    <row r="124" spans="2:16384" x14ac:dyDescent="0.25">
      <c r="B124" s="19"/>
      <c r="C124" s="20"/>
      <c r="D124" s="55"/>
      <c r="E124" s="32"/>
      <c r="F124" s="32"/>
      <c r="G124" s="32"/>
      <c r="H124" s="32"/>
    </row>
    <row r="125" spans="2:16384" x14ac:dyDescent="0.25">
      <c r="B125" s="19"/>
      <c r="C125" s="39"/>
      <c r="D125" s="30"/>
      <c r="E125" s="25"/>
      <c r="F125" s="26"/>
      <c r="G125" s="25"/>
      <c r="H125" s="26"/>
    </row>
    <row r="126" spans="2:16384" x14ac:dyDescent="0.25">
      <c r="B126" s="19"/>
      <c r="C126" s="39"/>
      <c r="D126" s="30"/>
      <c r="E126" s="25"/>
      <c r="F126" s="26"/>
      <c r="G126" s="25"/>
      <c r="H126" s="26"/>
    </row>
    <row r="127" spans="2:16384" x14ac:dyDescent="0.25">
      <c r="C127" s="6" t="s">
        <v>176</v>
      </c>
      <c r="D127" s="8"/>
      <c r="E127" s="56">
        <f>IF((E$130+E$131)&gt;0,E$130/(E$130+E$131),0)</f>
        <v>0.41111111111111109</v>
      </c>
      <c r="F127" s="57"/>
      <c r="G127" s="56">
        <f>IF((G$130+G$131)&gt;0,G$130/(G$130+G$131),0)</f>
        <v>0</v>
      </c>
      <c r="H127" s="57"/>
    </row>
    <row r="128" spans="2:16384" x14ac:dyDescent="0.25">
      <c r="C128" s="58"/>
      <c r="D128" s="59"/>
      <c r="E128" s="60"/>
      <c r="F128" s="61"/>
      <c r="G128" s="60"/>
      <c r="H128" s="61"/>
    </row>
    <row r="129" spans="2:8" x14ac:dyDescent="0.25">
      <c r="C129" s="58" t="s">
        <v>177</v>
      </c>
      <c r="D129" s="59"/>
      <c r="E129" s="62">
        <f>COUNT($B$11:$B$126)</f>
        <v>104</v>
      </c>
      <c r="F129" s="61"/>
      <c r="G129" s="62">
        <f>COUNT($B$11:$B$126)</f>
        <v>104</v>
      </c>
      <c r="H129" s="61"/>
    </row>
    <row r="130" spans="2:8" x14ac:dyDescent="0.25">
      <c r="C130" s="63" t="s">
        <v>178</v>
      </c>
      <c r="E130" s="62">
        <f>COUNTIF(E$11:E$126,"OK")</f>
        <v>37</v>
      </c>
      <c r="G130" s="62">
        <f>COUNTIF(G$11:G$126,"OK")</f>
        <v>0</v>
      </c>
    </row>
    <row r="131" spans="2:8" x14ac:dyDescent="0.25">
      <c r="C131" s="65" t="s">
        <v>179</v>
      </c>
      <c r="D131" s="66"/>
      <c r="E131" s="62">
        <f>COUNTIF(E$11:E$126,"NO OK")</f>
        <v>53</v>
      </c>
      <c r="G131" s="62">
        <f>COUNTIF(G$11:G$126,"NO OK")</f>
        <v>0</v>
      </c>
    </row>
    <row r="132" spans="2:8" x14ac:dyDescent="0.25">
      <c r="C132" s="63" t="s">
        <v>180</v>
      </c>
      <c r="E132" s="62">
        <f>COUNTIF(E$11:E$126,"No Aplica")</f>
        <v>13</v>
      </c>
      <c r="G132" s="62">
        <f>COUNTIF(G$11:G$126,"No Aplica")</f>
        <v>0</v>
      </c>
    </row>
    <row r="133" spans="2:8" x14ac:dyDescent="0.25">
      <c r="E133" s="62"/>
      <c r="G133" s="62"/>
    </row>
    <row r="134" spans="2:8" s="69" customFormat="1" ht="37.5" customHeight="1" x14ac:dyDescent="0.25">
      <c r="B134" s="67"/>
      <c r="C134" s="64"/>
      <c r="D134" s="64"/>
      <c r="E134" s="68" t="str">
        <f>IF(SUM(E$130:E$132)&lt;E$129, "Todavía faltan puntos por calificar.","Se han calificado ya todos los puntos para este Producto.")</f>
        <v>Todavía faltan puntos por calificar.</v>
      </c>
      <c r="G134" s="68" t="str">
        <f>IF(SUM(G$130:G$132)&lt;G$129, "Todavía faltan puntos por calificar.","Se han calificado ya todos los puntos para este Producto.")</f>
        <v>Todavía faltan puntos por calificar.</v>
      </c>
    </row>
  </sheetData>
  <autoFilter ref="B9:H127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5" priority="1" stopIfTrue="1" operator="equal">
      <formula>"no"</formula>
    </cfRule>
    <cfRule type="cellIs" dxfId="4" priority="2" stopIfTrue="1" operator="equal">
      <formula>"n/a"</formula>
    </cfRule>
    <cfRule type="cellIs" dxfId="3" priority="3" stopIfTrue="1" operator="equal">
      <formula>"si"</formula>
    </cfRule>
  </conditionalFormatting>
  <dataValidations count="1">
    <dataValidation type="list" allowBlank="1" showInputMessage="1" showErrorMessage="1" sqref="E11:E20 E22:E27 E30:E54 E56:E63 E65:E68 E70:E89 E91:E109 E111:E119 E121:E123 E125:E126 G11:G20 G22:G27 G30:G54 G56:G63 G65:G68 G70:G89 G91:G109 G111:G119 G121:G123 G125:G12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66"/>
  </sheetPr>
  <dimension ref="B1:XFD134"/>
  <sheetViews>
    <sheetView showGridLines="0" topLeftCell="A114" zoomScale="115" zoomScaleNormal="115" workbookViewId="0">
      <selection activeCell="E91" sqref="E9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/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/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7</v>
      </c>
      <c r="D6" s="75"/>
      <c r="E6" s="10" t="s">
        <v>8</v>
      </c>
      <c r="F6" s="10"/>
      <c r="G6" s="10" t="s">
        <v>8</v>
      </c>
      <c r="H6" s="10"/>
    </row>
    <row r="7" spans="2:29" ht="13.5" customHeight="1" x14ac:dyDescent="0.25">
      <c r="C7" s="76"/>
      <c r="D7" s="75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8.5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56</v>
      </c>
      <c r="D30" s="39" t="s">
        <v>57</v>
      </c>
      <c r="E30" s="25"/>
      <c r="F30" s="26"/>
      <c r="G30" s="25"/>
      <c r="H30" s="26"/>
    </row>
    <row r="31" spans="2:8" ht="42" customHeight="1" x14ac:dyDescent="0.25">
      <c r="B31" s="19">
        <f t="shared" ref="B31:B54" si="1">B30+1</f>
        <v>18</v>
      </c>
      <c r="C31" s="38" t="s">
        <v>58</v>
      </c>
      <c r="D31" s="39" t="s">
        <v>59</v>
      </c>
      <c r="E31" s="25"/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60</v>
      </c>
      <c r="D32" s="39" t="s">
        <v>61</v>
      </c>
      <c r="E32" s="25"/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62</v>
      </c>
      <c r="D33" s="30" t="s">
        <v>61</v>
      </c>
      <c r="E33" s="25"/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63</v>
      </c>
      <c r="D34" s="30" t="s">
        <v>61</v>
      </c>
      <c r="E34" s="25"/>
      <c r="F34" s="26"/>
      <c r="G34" s="25"/>
      <c r="H34" s="26"/>
    </row>
    <row r="35" spans="2:8" ht="42" customHeight="1" x14ac:dyDescent="0.25">
      <c r="B35" s="19">
        <f t="shared" si="1"/>
        <v>22</v>
      </c>
      <c r="C35" s="40" t="s">
        <v>64</v>
      </c>
      <c r="D35" s="30" t="s">
        <v>61</v>
      </c>
      <c r="E35" s="25"/>
      <c r="F35" s="26"/>
      <c r="G35" s="25"/>
      <c r="H35" s="26"/>
    </row>
    <row r="36" spans="2:8" ht="42" customHeight="1" x14ac:dyDescent="0.25">
      <c r="B36" s="19">
        <f t="shared" si="1"/>
        <v>23</v>
      </c>
      <c r="C36" s="40" t="s">
        <v>65</v>
      </c>
      <c r="D36" s="30" t="s">
        <v>61</v>
      </c>
      <c r="E36" s="25"/>
      <c r="F36" s="26"/>
      <c r="G36" s="25"/>
      <c r="H36" s="26"/>
    </row>
    <row r="37" spans="2:8" ht="42" customHeight="1" x14ac:dyDescent="0.25">
      <c r="B37" s="19">
        <f t="shared" si="1"/>
        <v>24</v>
      </c>
      <c r="C37" s="40" t="s">
        <v>66</v>
      </c>
      <c r="D37" s="30" t="s">
        <v>61</v>
      </c>
      <c r="E37" s="25"/>
      <c r="F37" s="26"/>
      <c r="G37" s="25"/>
      <c r="H37" s="26"/>
    </row>
    <row r="38" spans="2:8" ht="42" customHeight="1" x14ac:dyDescent="0.25">
      <c r="B38" s="19">
        <f t="shared" si="1"/>
        <v>25</v>
      </c>
      <c r="C38" s="40" t="s">
        <v>67</v>
      </c>
      <c r="D38" s="30" t="s">
        <v>68</v>
      </c>
      <c r="E38" s="25"/>
      <c r="F38" s="26"/>
      <c r="G38" s="25"/>
      <c r="H38" s="26"/>
    </row>
    <row r="39" spans="2:8" ht="28" customHeight="1" x14ac:dyDescent="0.25">
      <c r="B39" s="19">
        <f t="shared" si="1"/>
        <v>26</v>
      </c>
      <c r="C39" s="40" t="s">
        <v>69</v>
      </c>
      <c r="D39" s="30"/>
      <c r="E39" s="25"/>
      <c r="F39" s="26"/>
      <c r="G39" s="25"/>
      <c r="H39" s="26"/>
    </row>
    <row r="40" spans="2:8" ht="42" customHeight="1" x14ac:dyDescent="0.25">
      <c r="B40" s="19">
        <f t="shared" si="1"/>
        <v>27</v>
      </c>
      <c r="C40" s="40" t="s">
        <v>70</v>
      </c>
      <c r="D40" s="30"/>
      <c r="E40" s="25"/>
      <c r="F40" s="26"/>
      <c r="G40" s="25"/>
      <c r="H40" s="26"/>
    </row>
    <row r="41" spans="2:8" ht="42" customHeight="1" x14ac:dyDescent="0.25">
      <c r="B41" s="19">
        <f t="shared" si="1"/>
        <v>28</v>
      </c>
      <c r="C41" s="40" t="s">
        <v>71</v>
      </c>
      <c r="D41" s="30"/>
      <c r="E41" s="25"/>
      <c r="F41" s="26"/>
      <c r="G41" s="25"/>
      <c r="H41" s="26"/>
    </row>
    <row r="42" spans="2:8" ht="42" customHeight="1" x14ac:dyDescent="0.25">
      <c r="B42" s="19">
        <f t="shared" si="1"/>
        <v>29</v>
      </c>
      <c r="C42" s="40" t="s">
        <v>72</v>
      </c>
      <c r="D42" s="30"/>
      <c r="E42" s="25"/>
      <c r="F42" s="26"/>
      <c r="G42" s="25"/>
      <c r="H42" s="26"/>
    </row>
    <row r="43" spans="2:8" ht="42" customHeight="1" x14ac:dyDescent="0.25">
      <c r="B43" s="19">
        <f t="shared" si="1"/>
        <v>30</v>
      </c>
      <c r="C43" s="40" t="s">
        <v>73</v>
      </c>
      <c r="D43" s="30"/>
      <c r="E43" s="25"/>
      <c r="F43" s="26"/>
      <c r="G43" s="25"/>
      <c r="H43" s="26"/>
    </row>
    <row r="44" spans="2:8" ht="28" customHeight="1" x14ac:dyDescent="0.25">
      <c r="B44" s="19">
        <f t="shared" si="1"/>
        <v>31</v>
      </c>
      <c r="C44" s="40" t="s">
        <v>74</v>
      </c>
      <c r="D44" s="30" t="s">
        <v>75</v>
      </c>
      <c r="E44" s="25"/>
      <c r="F44" s="26"/>
      <c r="G44" s="25"/>
      <c r="H44" s="26"/>
    </row>
    <row r="45" spans="2:8" ht="28" customHeight="1" x14ac:dyDescent="0.25">
      <c r="B45" s="19">
        <f t="shared" si="1"/>
        <v>32</v>
      </c>
      <c r="C45" s="40" t="s">
        <v>76</v>
      </c>
      <c r="D45" s="30" t="s">
        <v>77</v>
      </c>
      <c r="E45" s="25"/>
      <c r="F45" s="26"/>
      <c r="G45" s="25"/>
      <c r="H45" s="26"/>
    </row>
    <row r="46" spans="2:8" ht="28" customHeight="1" x14ac:dyDescent="0.25">
      <c r="B46" s="19">
        <f t="shared" si="1"/>
        <v>33</v>
      </c>
      <c r="C46" s="40" t="s">
        <v>78</v>
      </c>
      <c r="D46" s="30"/>
      <c r="E46" s="25"/>
      <c r="F46" s="26"/>
      <c r="G46" s="25"/>
      <c r="H46" s="26"/>
    </row>
    <row r="47" spans="2:8" ht="28" customHeight="1" x14ac:dyDescent="0.25">
      <c r="B47" s="19">
        <f t="shared" si="1"/>
        <v>34</v>
      </c>
      <c r="C47" s="38" t="s">
        <v>79</v>
      </c>
      <c r="D47" s="30"/>
      <c r="E47" s="25"/>
      <c r="F47" s="26"/>
      <c r="G47" s="25"/>
      <c r="H47" s="26"/>
    </row>
    <row r="48" spans="2:8" x14ac:dyDescent="0.25">
      <c r="B48" s="19">
        <f t="shared" si="1"/>
        <v>35</v>
      </c>
      <c r="C48" s="38" t="s">
        <v>80</v>
      </c>
      <c r="D48" s="39" t="s">
        <v>81</v>
      </c>
      <c r="E48" s="25"/>
      <c r="F48" s="26"/>
      <c r="G48" s="25"/>
      <c r="H48" s="26"/>
    </row>
    <row r="49" spans="2:8" ht="42" customHeight="1" x14ac:dyDescent="0.25">
      <c r="B49" s="19">
        <f t="shared" si="1"/>
        <v>36</v>
      </c>
      <c r="C49" s="35" t="s">
        <v>82</v>
      </c>
      <c r="D49" s="41" t="s">
        <v>83</v>
      </c>
      <c r="E49" s="25"/>
      <c r="F49" s="26"/>
      <c r="G49" s="25"/>
      <c r="H49" s="26"/>
    </row>
    <row r="50" spans="2:8" ht="15" customHeight="1" x14ac:dyDescent="0.25">
      <c r="B50" s="22">
        <f t="shared" si="1"/>
        <v>37</v>
      </c>
      <c r="C50" s="34" t="s">
        <v>84</v>
      </c>
      <c r="D50" s="30" t="s">
        <v>85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1"/>
        <v>38</v>
      </c>
      <c r="C51" s="34" t="s">
        <v>86</v>
      </c>
      <c r="D51" s="30" t="s">
        <v>87</v>
      </c>
      <c r="E51" s="25" t="s">
        <v>5</v>
      </c>
      <c r="F51" s="26"/>
      <c r="G51" s="25"/>
      <c r="H51" s="26"/>
    </row>
    <row r="52" spans="2:8" ht="28" customHeight="1" x14ac:dyDescent="0.25">
      <c r="B52" s="19">
        <f t="shared" si="1"/>
        <v>39</v>
      </c>
      <c r="C52" s="34" t="s">
        <v>88</v>
      </c>
      <c r="D52" s="30" t="s">
        <v>89</v>
      </c>
      <c r="E52" s="25"/>
      <c r="F52" s="26"/>
      <c r="G52" s="25"/>
      <c r="H52" s="26"/>
    </row>
    <row r="53" spans="2:8" ht="70" customHeight="1" x14ac:dyDescent="0.25">
      <c r="B53" s="19">
        <f t="shared" si="1"/>
        <v>40</v>
      </c>
      <c r="C53" s="38" t="s">
        <v>90</v>
      </c>
      <c r="D53" s="30" t="s">
        <v>91</v>
      </c>
      <c r="E53" s="25"/>
      <c r="F53" s="26"/>
      <c r="G53" s="25"/>
      <c r="H53" s="26"/>
    </row>
    <row r="54" spans="2:8" ht="28" customHeight="1" x14ac:dyDescent="0.25">
      <c r="B54" s="19">
        <f t="shared" si="1"/>
        <v>41</v>
      </c>
      <c r="C54" s="38" t="s">
        <v>92</v>
      </c>
      <c r="D54" s="30" t="s">
        <v>93</v>
      </c>
      <c r="E54" s="25"/>
      <c r="F54" s="26"/>
      <c r="G54" s="25"/>
      <c r="H54" s="26"/>
    </row>
    <row r="55" spans="2:8" ht="15" customHeight="1" x14ac:dyDescent="0.25">
      <c r="B55" s="19" t="s">
        <v>54</v>
      </c>
      <c r="C55" s="42" t="s">
        <v>94</v>
      </c>
      <c r="D55" s="37"/>
      <c r="E55" s="32"/>
      <c r="F55" s="32"/>
      <c r="G55" s="32"/>
      <c r="H55" s="32"/>
    </row>
    <row r="56" spans="2:8" ht="42" customHeight="1" x14ac:dyDescent="0.25">
      <c r="B56" s="27">
        <f>B54+1</f>
        <v>42</v>
      </c>
      <c r="C56" s="38" t="s">
        <v>95</v>
      </c>
      <c r="D56" s="30" t="s">
        <v>96</v>
      </c>
      <c r="E56" s="25" t="s">
        <v>1</v>
      </c>
      <c r="F56" s="26"/>
      <c r="G56" s="25"/>
      <c r="H56" s="26"/>
    </row>
    <row r="57" spans="2:8" ht="28" customHeight="1" x14ac:dyDescent="0.25">
      <c r="B57" s="27">
        <f t="shared" ref="B57:B63" si="2">B56+1</f>
        <v>43</v>
      </c>
      <c r="C57" s="38" t="s">
        <v>97</v>
      </c>
      <c r="D57" s="30" t="s">
        <v>98</v>
      </c>
      <c r="E57" s="25" t="s">
        <v>1</v>
      </c>
      <c r="F57" s="26"/>
      <c r="G57" s="25"/>
      <c r="H57" s="26"/>
    </row>
    <row r="58" spans="2:8" ht="28" customHeight="1" x14ac:dyDescent="0.25">
      <c r="B58" s="27">
        <f t="shared" si="2"/>
        <v>44</v>
      </c>
      <c r="C58" s="35" t="s">
        <v>99</v>
      </c>
      <c r="D58" s="30" t="s">
        <v>100</v>
      </c>
      <c r="E58" s="25" t="s">
        <v>1</v>
      </c>
      <c r="F58" s="26"/>
      <c r="G58" s="25"/>
      <c r="H58" s="26"/>
    </row>
    <row r="59" spans="2:8" ht="28" customHeight="1" x14ac:dyDescent="0.25">
      <c r="B59" s="27">
        <f t="shared" si="2"/>
        <v>45</v>
      </c>
      <c r="C59" s="34" t="s">
        <v>101</v>
      </c>
      <c r="D59" s="30" t="s">
        <v>102</v>
      </c>
      <c r="E59" s="25" t="s">
        <v>1</v>
      </c>
      <c r="F59" s="26"/>
      <c r="G59" s="25"/>
      <c r="H59" s="26"/>
    </row>
    <row r="60" spans="2:8" ht="28" customHeight="1" x14ac:dyDescent="0.25">
      <c r="B60" s="27">
        <f t="shared" si="2"/>
        <v>46</v>
      </c>
      <c r="C60" s="35" t="s">
        <v>103</v>
      </c>
      <c r="D60" s="30" t="s">
        <v>104</v>
      </c>
      <c r="E60" s="25" t="s">
        <v>1</v>
      </c>
      <c r="F60" s="26"/>
      <c r="G60" s="25"/>
      <c r="H60" s="26"/>
    </row>
    <row r="61" spans="2:8" ht="42" customHeight="1" x14ac:dyDescent="0.25">
      <c r="B61" s="22">
        <f t="shared" si="2"/>
        <v>47</v>
      </c>
      <c r="C61" s="34" t="s">
        <v>105</v>
      </c>
      <c r="D61" s="30" t="s">
        <v>106</v>
      </c>
      <c r="E61" s="25" t="s">
        <v>5</v>
      </c>
      <c r="F61" s="26"/>
      <c r="G61" s="25"/>
      <c r="H61" s="26"/>
    </row>
    <row r="62" spans="2:8" ht="28" customHeight="1" x14ac:dyDescent="0.25">
      <c r="B62" s="22">
        <f t="shared" si="2"/>
        <v>48</v>
      </c>
      <c r="C62" s="34" t="s">
        <v>107</v>
      </c>
      <c r="D62" s="30" t="s">
        <v>108</v>
      </c>
      <c r="E62" s="25" t="s">
        <v>5</v>
      </c>
      <c r="F62" s="26"/>
      <c r="G62" s="25"/>
      <c r="H62" s="26"/>
    </row>
    <row r="63" spans="2:8" ht="70" customHeight="1" x14ac:dyDescent="0.25">
      <c r="B63" s="27">
        <f t="shared" si="2"/>
        <v>49</v>
      </c>
      <c r="C63" s="34" t="s">
        <v>109</v>
      </c>
      <c r="D63" s="30" t="s">
        <v>110</v>
      </c>
      <c r="E63" s="25" t="s">
        <v>1</v>
      </c>
      <c r="F63" s="26"/>
      <c r="G63" s="25"/>
      <c r="H63" s="26"/>
    </row>
    <row r="64" spans="2:8" ht="15" customHeight="1" x14ac:dyDescent="0.25">
      <c r="B64" s="19" t="s">
        <v>54</v>
      </c>
      <c r="C64" s="42" t="s">
        <v>111</v>
      </c>
      <c r="D64" s="37"/>
      <c r="E64" s="32"/>
      <c r="F64" s="32"/>
      <c r="G64" s="32"/>
      <c r="H64" s="32"/>
    </row>
    <row r="65" spans="2:8" ht="28" customHeight="1" x14ac:dyDescent="0.25">
      <c r="B65" s="19">
        <f>B63+1</f>
        <v>50</v>
      </c>
      <c r="C65" s="43" t="s">
        <v>112</v>
      </c>
      <c r="D65" s="30" t="s">
        <v>113</v>
      </c>
      <c r="E65" s="25"/>
      <c r="F65" s="26"/>
      <c r="G65" s="25"/>
      <c r="H65" s="26"/>
    </row>
    <row r="66" spans="2:8" ht="38.15" customHeight="1" x14ac:dyDescent="0.25">
      <c r="B66" s="27">
        <f>B65+1</f>
        <v>51</v>
      </c>
      <c r="C66" s="44" t="s">
        <v>114</v>
      </c>
      <c r="D66" s="30" t="s">
        <v>115</v>
      </c>
      <c r="E66" s="25" t="s">
        <v>1</v>
      </c>
      <c r="F66" s="26"/>
      <c r="G66" s="25"/>
      <c r="H66" s="26"/>
    </row>
    <row r="67" spans="2:8" ht="70" customHeight="1" x14ac:dyDescent="0.25">
      <c r="B67" s="19">
        <f>B66+1</f>
        <v>52</v>
      </c>
      <c r="C67" s="43" t="s">
        <v>116</v>
      </c>
      <c r="D67" s="30" t="s">
        <v>117</v>
      </c>
      <c r="E67" s="25"/>
      <c r="F67" s="26"/>
      <c r="G67" s="25"/>
      <c r="H67" s="26"/>
    </row>
    <row r="68" spans="2:8" ht="42" customHeight="1" x14ac:dyDescent="0.25">
      <c r="B68" s="19">
        <f>B67+1</f>
        <v>53</v>
      </c>
      <c r="C68" s="43" t="s">
        <v>118</v>
      </c>
      <c r="D68" s="30" t="s">
        <v>119</v>
      </c>
      <c r="E68" s="25"/>
      <c r="F68" s="26"/>
      <c r="G68" s="25"/>
      <c r="H68" s="26"/>
    </row>
    <row r="69" spans="2:8" x14ac:dyDescent="0.25">
      <c r="B69" s="19" t="s">
        <v>18</v>
      </c>
      <c r="C69" s="20" t="s">
        <v>120</v>
      </c>
      <c r="D69" s="11" t="s">
        <v>41</v>
      </c>
      <c r="E69" s="32"/>
      <c r="F69" s="32"/>
      <c r="G69" s="32"/>
      <c r="H69" s="32"/>
    </row>
    <row r="70" spans="2:8" ht="98" customHeight="1" x14ac:dyDescent="0.25">
      <c r="B70" s="27">
        <f>B68+1</f>
        <v>54</v>
      </c>
      <c r="C70" s="34" t="s">
        <v>121</v>
      </c>
      <c r="D70" s="45" t="s">
        <v>122</v>
      </c>
      <c r="E70" s="25" t="s">
        <v>1</v>
      </c>
      <c r="F70" s="26"/>
      <c r="G70" s="25"/>
      <c r="H70" s="26"/>
    </row>
    <row r="71" spans="2:8" x14ac:dyDescent="0.25">
      <c r="B71" s="19">
        <f t="shared" ref="B71:B89" si="3">B70+1</f>
        <v>55</v>
      </c>
      <c r="C71" s="38" t="s">
        <v>123</v>
      </c>
      <c r="D71" s="46" t="s">
        <v>124</v>
      </c>
      <c r="E71" s="25"/>
      <c r="F71" s="26"/>
      <c r="G71" s="25"/>
      <c r="H71" s="26"/>
    </row>
    <row r="72" spans="2:8" ht="28" customHeight="1" x14ac:dyDescent="0.25">
      <c r="B72" s="19">
        <f t="shared" si="3"/>
        <v>56</v>
      </c>
      <c r="C72" s="38" t="s">
        <v>125</v>
      </c>
      <c r="D72" s="46" t="s">
        <v>124</v>
      </c>
      <c r="E72" s="25"/>
      <c r="F72" s="26"/>
      <c r="G72" s="25"/>
      <c r="H72" s="26"/>
    </row>
    <row r="73" spans="2:8" ht="28" customHeight="1" x14ac:dyDescent="0.25">
      <c r="B73" s="19">
        <f t="shared" si="3"/>
        <v>57</v>
      </c>
      <c r="C73" s="38" t="s">
        <v>126</v>
      </c>
      <c r="D73" s="46" t="s">
        <v>124</v>
      </c>
      <c r="E73" s="25"/>
      <c r="F73" s="26"/>
      <c r="G73" s="25"/>
      <c r="H73" s="26"/>
    </row>
    <row r="74" spans="2:8" ht="28" customHeight="1" x14ac:dyDescent="0.25">
      <c r="B74" s="19">
        <f t="shared" si="3"/>
        <v>58</v>
      </c>
      <c r="C74" s="38" t="s">
        <v>127</v>
      </c>
      <c r="D74" s="46" t="s">
        <v>124</v>
      </c>
      <c r="E74" s="25"/>
      <c r="F74" s="26"/>
      <c r="G74" s="25"/>
      <c r="H74" s="26"/>
    </row>
    <row r="75" spans="2:8" ht="42" customHeight="1" x14ac:dyDescent="0.25">
      <c r="B75" s="19">
        <f t="shared" si="3"/>
        <v>59</v>
      </c>
      <c r="C75" s="47" t="s">
        <v>128</v>
      </c>
      <c r="D75" s="30" t="s">
        <v>129</v>
      </c>
      <c r="E75" s="25"/>
      <c r="F75" s="26"/>
      <c r="G75" s="25"/>
      <c r="H75" s="26"/>
    </row>
    <row r="76" spans="2:8" x14ac:dyDescent="0.25">
      <c r="B76" s="19">
        <f t="shared" si="3"/>
        <v>60</v>
      </c>
      <c r="C76" s="48" t="s">
        <v>130</v>
      </c>
      <c r="D76" s="30" t="s">
        <v>61</v>
      </c>
      <c r="E76" s="25"/>
      <c r="F76" s="26"/>
      <c r="G76" s="25"/>
      <c r="H76" s="26"/>
    </row>
    <row r="77" spans="2:8" x14ac:dyDescent="0.25">
      <c r="B77" s="19">
        <f t="shared" si="3"/>
        <v>61</v>
      </c>
      <c r="C77" s="48" t="s">
        <v>131</v>
      </c>
      <c r="D77" s="30" t="s">
        <v>61</v>
      </c>
      <c r="E77" s="25"/>
      <c r="F77" s="26"/>
      <c r="G77" s="25"/>
      <c r="H77" s="26"/>
    </row>
    <row r="78" spans="2:8" ht="28" customHeight="1" x14ac:dyDescent="0.25">
      <c r="B78" s="19">
        <f t="shared" si="3"/>
        <v>62</v>
      </c>
      <c r="C78" s="48" t="s">
        <v>132</v>
      </c>
      <c r="D78" s="30" t="s">
        <v>133</v>
      </c>
      <c r="E78" s="25"/>
      <c r="F78" s="26"/>
      <c r="G78" s="25"/>
      <c r="H78" s="26"/>
    </row>
    <row r="79" spans="2:8" ht="28" customHeight="1" x14ac:dyDescent="0.25">
      <c r="B79" s="19">
        <f t="shared" si="3"/>
        <v>63</v>
      </c>
      <c r="C79" s="48" t="s">
        <v>134</v>
      </c>
      <c r="D79" s="30" t="s">
        <v>135</v>
      </c>
      <c r="E79" s="25"/>
      <c r="F79" s="26"/>
      <c r="G79" s="25"/>
      <c r="H79" s="26"/>
    </row>
    <row r="80" spans="2:8" ht="42" customHeight="1" x14ac:dyDescent="0.25">
      <c r="B80" s="19">
        <f t="shared" si="3"/>
        <v>64</v>
      </c>
      <c r="C80" s="47" t="s">
        <v>136</v>
      </c>
      <c r="D80" s="30" t="s">
        <v>129</v>
      </c>
      <c r="E80" s="25"/>
      <c r="F80" s="26"/>
      <c r="G80" s="25"/>
      <c r="H80" s="26"/>
    </row>
    <row r="81" spans="2:8" x14ac:dyDescent="0.25">
      <c r="B81" s="19">
        <f t="shared" si="3"/>
        <v>65</v>
      </c>
      <c r="C81" s="48" t="s">
        <v>130</v>
      </c>
      <c r="D81" s="30" t="s">
        <v>61</v>
      </c>
      <c r="E81" s="25"/>
      <c r="F81" s="26"/>
      <c r="G81" s="25"/>
      <c r="H81" s="26"/>
    </row>
    <row r="82" spans="2:8" x14ac:dyDescent="0.25">
      <c r="B82" s="19">
        <f t="shared" si="3"/>
        <v>66</v>
      </c>
      <c r="C82" s="48" t="s">
        <v>131</v>
      </c>
      <c r="D82" s="30" t="s">
        <v>61</v>
      </c>
      <c r="E82" s="25"/>
      <c r="F82" s="26"/>
      <c r="G82" s="25"/>
      <c r="H82" s="26"/>
    </row>
    <row r="83" spans="2:8" ht="28" customHeight="1" x14ac:dyDescent="0.25">
      <c r="B83" s="19">
        <f t="shared" si="3"/>
        <v>67</v>
      </c>
      <c r="C83" s="48" t="s">
        <v>132</v>
      </c>
      <c r="D83" s="30" t="s">
        <v>133</v>
      </c>
      <c r="E83" s="25"/>
      <c r="F83" s="26"/>
      <c r="G83" s="25"/>
      <c r="H83" s="26"/>
    </row>
    <row r="84" spans="2:8" ht="28" customHeight="1" x14ac:dyDescent="0.25">
      <c r="B84" s="19">
        <f t="shared" si="3"/>
        <v>68</v>
      </c>
      <c r="C84" s="48" t="s">
        <v>134</v>
      </c>
      <c r="D84" s="30" t="s">
        <v>135</v>
      </c>
      <c r="E84" s="25"/>
      <c r="F84" s="26"/>
      <c r="G84" s="25"/>
      <c r="H84" s="26"/>
    </row>
    <row r="85" spans="2:8" ht="42" customHeight="1" x14ac:dyDescent="0.25">
      <c r="B85" s="19">
        <f t="shared" si="3"/>
        <v>69</v>
      </c>
      <c r="C85" s="47" t="s">
        <v>137</v>
      </c>
      <c r="D85" s="30" t="s">
        <v>129</v>
      </c>
      <c r="E85" s="25"/>
      <c r="F85" s="26"/>
      <c r="G85" s="25"/>
      <c r="H85" s="26"/>
    </row>
    <row r="86" spans="2:8" x14ac:dyDescent="0.25">
      <c r="B86" s="19">
        <f t="shared" si="3"/>
        <v>70</v>
      </c>
      <c r="C86" s="48" t="s">
        <v>130</v>
      </c>
      <c r="D86" s="30" t="s">
        <v>61</v>
      </c>
      <c r="E86" s="25"/>
      <c r="F86" s="26"/>
      <c r="G86" s="25"/>
      <c r="H86" s="26"/>
    </row>
    <row r="87" spans="2:8" x14ac:dyDescent="0.25">
      <c r="B87" s="19">
        <f t="shared" si="3"/>
        <v>71</v>
      </c>
      <c r="C87" s="48" t="s">
        <v>131</v>
      </c>
      <c r="D87" s="30" t="s">
        <v>61</v>
      </c>
      <c r="E87" s="25"/>
      <c r="F87" s="26"/>
      <c r="G87" s="25"/>
      <c r="H87" s="26"/>
    </row>
    <row r="88" spans="2:8" ht="28" customHeight="1" x14ac:dyDescent="0.25">
      <c r="B88" s="19">
        <f t="shared" si="3"/>
        <v>72</v>
      </c>
      <c r="C88" s="48" t="s">
        <v>132</v>
      </c>
      <c r="D88" s="30" t="s">
        <v>133</v>
      </c>
      <c r="E88" s="25"/>
      <c r="F88" s="26"/>
      <c r="G88" s="25"/>
      <c r="H88" s="26"/>
    </row>
    <row r="89" spans="2:8" ht="28" customHeight="1" x14ac:dyDescent="0.25">
      <c r="B89" s="19">
        <f t="shared" si="3"/>
        <v>73</v>
      </c>
      <c r="C89" s="48" t="s">
        <v>134</v>
      </c>
      <c r="D89" s="30" t="s">
        <v>135</v>
      </c>
      <c r="E89" s="25"/>
      <c r="F89" s="26"/>
      <c r="G89" s="25"/>
      <c r="H89" s="26"/>
    </row>
    <row r="90" spans="2:8" x14ac:dyDescent="0.25">
      <c r="B90" s="19" t="s">
        <v>18</v>
      </c>
      <c r="C90" s="49" t="s">
        <v>138</v>
      </c>
      <c r="D90" s="11" t="s">
        <v>41</v>
      </c>
      <c r="E90" s="32"/>
      <c r="F90" s="32"/>
      <c r="G90" s="32"/>
      <c r="H90" s="32"/>
    </row>
    <row r="91" spans="2:8" ht="42" customHeight="1" x14ac:dyDescent="0.25">
      <c r="B91" s="27">
        <f>B89+1</f>
        <v>74</v>
      </c>
      <c r="C91" s="50" t="s">
        <v>139</v>
      </c>
      <c r="D91" s="39" t="s">
        <v>140</v>
      </c>
      <c r="E91" s="25" t="s">
        <v>1</v>
      </c>
      <c r="F91" s="26"/>
      <c r="G91" s="25"/>
      <c r="H91" s="26"/>
    </row>
    <row r="92" spans="2:8" x14ac:dyDescent="0.25">
      <c r="B92" s="19">
        <f t="shared" ref="B92:B109" si="4">B91+1</f>
        <v>75</v>
      </c>
      <c r="C92" s="38" t="s">
        <v>141</v>
      </c>
      <c r="D92" s="51" t="s">
        <v>142</v>
      </c>
      <c r="E92" s="25"/>
      <c r="F92" s="26"/>
      <c r="G92" s="25"/>
      <c r="H92" s="26"/>
    </row>
    <row r="93" spans="2:8" x14ac:dyDescent="0.25">
      <c r="B93" s="19">
        <f t="shared" si="4"/>
        <v>76</v>
      </c>
      <c r="C93" s="48" t="s">
        <v>143</v>
      </c>
      <c r="D93" s="39" t="s">
        <v>61</v>
      </c>
      <c r="E93" s="25"/>
      <c r="F93" s="26"/>
      <c r="G93" s="25"/>
      <c r="H93" s="26"/>
    </row>
    <row r="94" spans="2:8" x14ac:dyDescent="0.25">
      <c r="B94" s="19">
        <f t="shared" si="4"/>
        <v>77</v>
      </c>
      <c r="C94" s="48" t="s">
        <v>144</v>
      </c>
      <c r="D94" s="39" t="s">
        <v>61</v>
      </c>
      <c r="E94" s="25"/>
      <c r="F94" s="26"/>
      <c r="G94" s="25"/>
      <c r="H94" s="26"/>
    </row>
    <row r="95" spans="2:8" x14ac:dyDescent="0.25">
      <c r="B95" s="19">
        <f t="shared" si="4"/>
        <v>78</v>
      </c>
      <c r="C95" s="48" t="s">
        <v>145</v>
      </c>
      <c r="D95" s="39" t="s">
        <v>104</v>
      </c>
      <c r="E95" s="25"/>
      <c r="F95" s="26"/>
      <c r="G95" s="25"/>
      <c r="H95" s="26"/>
    </row>
    <row r="96" spans="2:8" x14ac:dyDescent="0.25">
      <c r="B96" s="19">
        <f t="shared" si="4"/>
        <v>79</v>
      </c>
      <c r="C96" s="48" t="s">
        <v>146</v>
      </c>
      <c r="D96" s="39" t="s">
        <v>147</v>
      </c>
      <c r="E96" s="25"/>
      <c r="F96" s="26"/>
      <c r="G96" s="25"/>
      <c r="H96" s="26"/>
    </row>
    <row r="97" spans="2:29" ht="28" customHeight="1" x14ac:dyDescent="0.25">
      <c r="B97" s="19">
        <f t="shared" si="4"/>
        <v>80</v>
      </c>
      <c r="C97" s="48" t="s">
        <v>148</v>
      </c>
      <c r="D97" s="39"/>
      <c r="E97" s="25"/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ht="28" customHeight="1" x14ac:dyDescent="0.25">
      <c r="B98" s="19">
        <f t="shared" si="4"/>
        <v>81</v>
      </c>
      <c r="C98" s="38" t="s">
        <v>149</v>
      </c>
      <c r="D98" s="51" t="s">
        <v>142</v>
      </c>
      <c r="E98" s="25"/>
      <c r="F98" s="26"/>
      <c r="G98" s="25"/>
      <c r="H98" s="26"/>
    </row>
    <row r="99" spans="2:29" x14ac:dyDescent="0.25">
      <c r="B99" s="19">
        <f t="shared" si="4"/>
        <v>82</v>
      </c>
      <c r="C99" s="48" t="s">
        <v>143</v>
      </c>
      <c r="D99" s="30" t="s">
        <v>61</v>
      </c>
      <c r="E99" s="25"/>
      <c r="F99" s="26"/>
      <c r="G99" s="25"/>
      <c r="H99" s="26"/>
    </row>
    <row r="100" spans="2:29" x14ac:dyDescent="0.25">
      <c r="B100" s="19">
        <f t="shared" si="4"/>
        <v>83</v>
      </c>
      <c r="C100" s="48" t="s">
        <v>144</v>
      </c>
      <c r="D100" s="30" t="s">
        <v>61</v>
      </c>
      <c r="E100" s="25"/>
      <c r="F100" s="26"/>
      <c r="G100" s="25"/>
      <c r="H100" s="26"/>
    </row>
    <row r="101" spans="2:29" x14ac:dyDescent="0.25">
      <c r="B101" s="19">
        <f t="shared" si="4"/>
        <v>84</v>
      </c>
      <c r="C101" s="48" t="s">
        <v>145</v>
      </c>
      <c r="D101" s="30" t="s">
        <v>104</v>
      </c>
      <c r="E101" s="25"/>
      <c r="F101" s="26"/>
      <c r="G101" s="25"/>
      <c r="H101" s="26"/>
    </row>
    <row r="102" spans="2:29" x14ac:dyDescent="0.25">
      <c r="B102" s="19">
        <f t="shared" si="4"/>
        <v>85</v>
      </c>
      <c r="C102" s="48" t="s">
        <v>146</v>
      </c>
      <c r="D102" s="30" t="s">
        <v>147</v>
      </c>
      <c r="E102" s="25"/>
      <c r="F102" s="26"/>
      <c r="G102" s="25"/>
      <c r="H102" s="26"/>
    </row>
    <row r="103" spans="2:29" ht="28" customHeight="1" x14ac:dyDescent="0.25">
      <c r="B103" s="19">
        <f t="shared" si="4"/>
        <v>86</v>
      </c>
      <c r="C103" s="48" t="s">
        <v>148</v>
      </c>
      <c r="D103" s="30"/>
      <c r="E103" s="25"/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customHeight="1" x14ac:dyDescent="0.25">
      <c r="B104" s="19">
        <f t="shared" si="4"/>
        <v>87</v>
      </c>
      <c r="C104" s="38" t="s">
        <v>150</v>
      </c>
      <c r="D104" s="30" t="s">
        <v>151</v>
      </c>
      <c r="E104" s="25"/>
      <c r="F104" s="26"/>
      <c r="G104" s="25"/>
      <c r="H104" s="26"/>
    </row>
    <row r="105" spans="2:29" x14ac:dyDescent="0.25">
      <c r="B105" s="19">
        <f t="shared" si="4"/>
        <v>88</v>
      </c>
      <c r="C105" s="48" t="s">
        <v>143</v>
      </c>
      <c r="D105" s="30" t="s">
        <v>61</v>
      </c>
      <c r="E105" s="25"/>
      <c r="F105" s="26"/>
      <c r="G105" s="25"/>
      <c r="H105" s="26"/>
    </row>
    <row r="106" spans="2:29" x14ac:dyDescent="0.25">
      <c r="B106" s="19">
        <f t="shared" si="4"/>
        <v>89</v>
      </c>
      <c r="C106" s="48" t="s">
        <v>144</v>
      </c>
      <c r="D106" s="30" t="s">
        <v>61</v>
      </c>
      <c r="E106" s="25"/>
      <c r="F106" s="26"/>
      <c r="G106" s="25"/>
      <c r="H106" s="26"/>
    </row>
    <row r="107" spans="2:29" x14ac:dyDescent="0.25">
      <c r="B107" s="19">
        <f t="shared" si="4"/>
        <v>90</v>
      </c>
      <c r="C107" s="48" t="s">
        <v>145</v>
      </c>
      <c r="D107" s="30" t="s">
        <v>104</v>
      </c>
      <c r="E107" s="25"/>
      <c r="F107" s="26"/>
      <c r="G107" s="25"/>
      <c r="H107" s="26"/>
    </row>
    <row r="108" spans="2:29" x14ac:dyDescent="0.25">
      <c r="B108" s="19">
        <f t="shared" si="4"/>
        <v>91</v>
      </c>
      <c r="C108" s="48" t="s">
        <v>146</v>
      </c>
      <c r="D108" s="30" t="s">
        <v>147</v>
      </c>
      <c r="E108" s="25"/>
      <c r="F108" s="26"/>
      <c r="G108" s="25"/>
      <c r="H108" s="26"/>
    </row>
    <row r="109" spans="2:29" ht="28" customHeight="1" x14ac:dyDescent="0.25">
      <c r="B109" s="19">
        <f t="shared" si="4"/>
        <v>92</v>
      </c>
      <c r="C109" s="48" t="s">
        <v>148</v>
      </c>
      <c r="D109" s="30"/>
      <c r="E109" s="25"/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x14ac:dyDescent="0.25">
      <c r="B110" s="19" t="s">
        <v>18</v>
      </c>
      <c r="C110" s="20" t="s">
        <v>152</v>
      </c>
      <c r="D110" s="11" t="s">
        <v>41</v>
      </c>
      <c r="E110" s="32"/>
      <c r="F110" s="32"/>
      <c r="G110" s="32"/>
      <c r="H110" s="32"/>
    </row>
    <row r="111" spans="2:29" ht="44.15" customHeight="1" x14ac:dyDescent="0.25">
      <c r="B111" s="19">
        <f>B109+1</f>
        <v>93</v>
      </c>
      <c r="C111" s="38" t="s">
        <v>153</v>
      </c>
      <c r="D111" s="30" t="s">
        <v>154</v>
      </c>
      <c r="E111" s="25"/>
      <c r="F111" s="26"/>
      <c r="G111" s="25"/>
      <c r="H111" s="26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2:29" ht="44.15" customHeight="1" x14ac:dyDescent="0.25">
      <c r="B112" s="19">
        <f t="shared" ref="B112:B119" si="5">B111+1</f>
        <v>94</v>
      </c>
      <c r="C112" s="38" t="s">
        <v>155</v>
      </c>
      <c r="D112" s="30" t="s">
        <v>156</v>
      </c>
      <c r="E112" s="25"/>
      <c r="F112" s="26"/>
      <c r="G112" s="25"/>
      <c r="H112" s="26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 spans="2:16384" ht="44.15" customHeight="1" x14ac:dyDescent="0.25">
      <c r="B113" s="19">
        <f t="shared" si="5"/>
        <v>95</v>
      </c>
      <c r="C113" s="38" t="s">
        <v>157</v>
      </c>
      <c r="D113" s="30" t="s">
        <v>158</v>
      </c>
      <c r="E113" s="25"/>
      <c r="F113" s="26"/>
      <c r="G113" s="25"/>
      <c r="H113" s="26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2:16384" ht="44.15" customHeight="1" x14ac:dyDescent="0.25">
      <c r="B114" s="19">
        <f t="shared" si="5"/>
        <v>96</v>
      </c>
      <c r="C114" s="38" t="s">
        <v>159</v>
      </c>
      <c r="D114" s="30" t="s">
        <v>160</v>
      </c>
      <c r="E114" s="25"/>
      <c r="F114" s="26"/>
      <c r="G114" s="25"/>
      <c r="H114" s="2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 spans="2:16384" ht="44.15" customHeight="1" x14ac:dyDescent="0.25">
      <c r="B115" s="19">
        <f t="shared" si="5"/>
        <v>97</v>
      </c>
      <c r="C115" s="38" t="s">
        <v>161</v>
      </c>
      <c r="D115" s="30" t="s">
        <v>162</v>
      </c>
      <c r="E115" s="25"/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16384" ht="44.15" customHeight="1" x14ac:dyDescent="0.25">
      <c r="B116" s="19">
        <f t="shared" si="5"/>
        <v>98</v>
      </c>
      <c r="C116" s="38" t="s">
        <v>163</v>
      </c>
      <c r="D116" s="30" t="s">
        <v>164</v>
      </c>
      <c r="E116" s="25"/>
      <c r="F116" s="26"/>
      <c r="G116" s="25"/>
      <c r="H116" s="26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2:16384" ht="44.15" customHeight="1" x14ac:dyDescent="0.25">
      <c r="B117" s="19">
        <f t="shared" si="5"/>
        <v>99</v>
      </c>
      <c r="C117" s="38" t="s">
        <v>165</v>
      </c>
      <c r="D117" s="30" t="s">
        <v>166</v>
      </c>
      <c r="E117" s="25"/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16384" ht="28" customHeight="1" x14ac:dyDescent="0.25">
      <c r="B118" s="19">
        <f t="shared" si="5"/>
        <v>100</v>
      </c>
      <c r="C118" s="50" t="s">
        <v>167</v>
      </c>
      <c r="D118" s="30" t="s">
        <v>61</v>
      </c>
      <c r="E118" s="25"/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16384" ht="28" customHeight="1" x14ac:dyDescent="0.25">
      <c r="B119" s="19">
        <f t="shared" si="5"/>
        <v>101</v>
      </c>
      <c r="C119" s="50" t="s">
        <v>168</v>
      </c>
      <c r="D119" s="30" t="s">
        <v>61</v>
      </c>
      <c r="E119" s="25"/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16384" s="53" customFormat="1" x14ac:dyDescent="0.25">
      <c r="B120" s="19" t="s">
        <v>18</v>
      </c>
      <c r="C120" s="20" t="s">
        <v>169</v>
      </c>
      <c r="D120" s="11"/>
      <c r="E120" s="32"/>
      <c r="F120" s="3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  <c r="WZG120" s="2"/>
      <c r="WZH120" s="2"/>
      <c r="WZI120" s="2"/>
      <c r="WZJ120" s="2"/>
      <c r="WZK120" s="2"/>
      <c r="WZL120" s="2"/>
      <c r="WZM120" s="2"/>
      <c r="WZN120" s="2"/>
      <c r="WZO120" s="2"/>
      <c r="WZP120" s="2"/>
      <c r="WZQ120" s="2"/>
      <c r="WZR120" s="2"/>
      <c r="WZS120" s="2"/>
      <c r="WZT120" s="2"/>
      <c r="WZU120" s="2"/>
      <c r="WZV120" s="2"/>
      <c r="WZW120" s="2"/>
      <c r="WZX120" s="2"/>
      <c r="WZY120" s="2"/>
      <c r="WZZ120" s="2"/>
      <c r="XAA120" s="2"/>
      <c r="XAB120" s="2"/>
      <c r="XAC120" s="2"/>
      <c r="XAD120" s="2"/>
      <c r="XAE120" s="2"/>
      <c r="XAF120" s="2"/>
      <c r="XAG120" s="2"/>
      <c r="XAH120" s="2"/>
      <c r="XAI120" s="2"/>
      <c r="XAJ120" s="2"/>
      <c r="XAK120" s="2"/>
      <c r="XAL120" s="2"/>
      <c r="XAM120" s="2"/>
      <c r="XAN120" s="2"/>
      <c r="XAO120" s="2"/>
      <c r="XAP120" s="2"/>
      <c r="XAQ120" s="2"/>
      <c r="XAR120" s="2"/>
      <c r="XAS120" s="2"/>
      <c r="XAT120" s="2"/>
      <c r="XAU120" s="2"/>
      <c r="XAV120" s="2"/>
      <c r="XAW120" s="2"/>
      <c r="XAX120" s="2"/>
      <c r="XAY120" s="2"/>
      <c r="XAZ120" s="2"/>
      <c r="XBA120" s="2"/>
      <c r="XBB120" s="2"/>
      <c r="XBC120" s="2"/>
      <c r="XBD120" s="2"/>
      <c r="XBE120" s="2"/>
      <c r="XBF120" s="2"/>
      <c r="XBG120" s="2"/>
      <c r="XBH120" s="2"/>
      <c r="XBI120" s="2"/>
      <c r="XBJ120" s="2"/>
      <c r="XBK120" s="2"/>
      <c r="XBL120" s="2"/>
      <c r="XBM120" s="2"/>
      <c r="XBN120" s="2"/>
      <c r="XBO120" s="2"/>
      <c r="XBP120" s="2"/>
      <c r="XBQ120" s="2"/>
      <c r="XBR120" s="2"/>
      <c r="XBS120" s="2"/>
      <c r="XBT120" s="2"/>
      <c r="XBU120" s="2"/>
      <c r="XBV120" s="2"/>
      <c r="XBW120" s="2"/>
      <c r="XBX120" s="2"/>
      <c r="XBY120" s="2"/>
      <c r="XBZ120" s="2"/>
      <c r="XCA120" s="2"/>
      <c r="XCB120" s="2"/>
      <c r="XCC120" s="2"/>
      <c r="XCD120" s="2"/>
      <c r="XCE120" s="2"/>
      <c r="XCF120" s="2"/>
      <c r="XCG120" s="2"/>
      <c r="XCH120" s="2"/>
      <c r="XCI120" s="2"/>
      <c r="XCJ120" s="2"/>
      <c r="XCK120" s="2"/>
      <c r="XCL120" s="2"/>
      <c r="XCM120" s="2"/>
      <c r="XCN120" s="2"/>
      <c r="XCO120" s="2"/>
      <c r="XCP120" s="2"/>
      <c r="XCQ120" s="2"/>
      <c r="XCR120" s="2"/>
      <c r="XCS120" s="2"/>
      <c r="XCT120" s="2"/>
      <c r="XCU120" s="2"/>
      <c r="XCV120" s="2"/>
      <c r="XCW120" s="2"/>
      <c r="XCX120" s="2"/>
      <c r="XCY120" s="2"/>
      <c r="XCZ120" s="2"/>
      <c r="XDA120" s="2"/>
      <c r="XDB120" s="2"/>
      <c r="XDC120" s="2"/>
      <c r="XDD120" s="2"/>
      <c r="XDE120" s="2"/>
      <c r="XDF120" s="2"/>
      <c r="XDG120" s="2"/>
      <c r="XDH120" s="2"/>
      <c r="XDI120" s="2"/>
      <c r="XDJ120" s="2"/>
      <c r="XDK120" s="2"/>
      <c r="XDL120" s="2"/>
      <c r="XDM120" s="2"/>
      <c r="XDN120" s="2"/>
      <c r="XDO120" s="2"/>
      <c r="XDP120" s="2"/>
      <c r="XDQ120" s="2"/>
      <c r="XDR120" s="2"/>
      <c r="XDS120" s="2"/>
      <c r="XDT120" s="2"/>
      <c r="XDU120" s="2"/>
      <c r="XDV120" s="2"/>
      <c r="XDW120" s="2"/>
      <c r="XDX120" s="2"/>
      <c r="XDY120" s="2"/>
      <c r="XDZ120" s="2"/>
      <c r="XEA120" s="2"/>
      <c r="XEB120" s="2"/>
      <c r="XEC120" s="2"/>
      <c r="XED120" s="2"/>
      <c r="XEE120" s="2"/>
      <c r="XEF120" s="2"/>
      <c r="XEG120" s="2"/>
      <c r="XEH120" s="2"/>
      <c r="XEI120" s="2"/>
      <c r="XEJ120" s="2"/>
      <c r="XEK120" s="2"/>
      <c r="XEL120" s="2"/>
      <c r="XEM120" s="2"/>
      <c r="XEN120" s="2"/>
      <c r="XEO120" s="2"/>
      <c r="XEP120" s="2"/>
      <c r="XEQ120" s="2"/>
      <c r="XER120" s="2"/>
      <c r="XES120" s="2"/>
      <c r="XET120" s="2"/>
      <c r="XEU120" s="2"/>
      <c r="XEV120" s="2"/>
      <c r="XEW120" s="2"/>
      <c r="XEX120" s="2"/>
      <c r="XEY120" s="2"/>
      <c r="XEZ120" s="2"/>
      <c r="XFA120" s="2"/>
      <c r="XFB120" s="2"/>
      <c r="XFC120" s="2"/>
      <c r="XFD120" s="2"/>
    </row>
    <row r="121" spans="2:16384" ht="28" customHeight="1" x14ac:dyDescent="0.25">
      <c r="B121" s="19">
        <f>B119+1</f>
        <v>102</v>
      </c>
      <c r="C121" s="54" t="s">
        <v>170</v>
      </c>
      <c r="D121" s="24" t="s">
        <v>171</v>
      </c>
      <c r="E121" s="25"/>
      <c r="F121" s="26"/>
      <c r="G121" s="25"/>
      <c r="H121" s="26"/>
    </row>
    <row r="122" spans="2:16384" ht="28" customHeight="1" x14ac:dyDescent="0.25">
      <c r="B122" s="19">
        <f>B121+1</f>
        <v>103</v>
      </c>
      <c r="C122" s="54" t="s">
        <v>172</v>
      </c>
      <c r="D122" s="24" t="s">
        <v>173</v>
      </c>
      <c r="E122" s="25"/>
      <c r="F122" s="26"/>
      <c r="G122" s="25"/>
      <c r="H122" s="26"/>
    </row>
    <row r="123" spans="2:16384" ht="86.15" customHeight="1" x14ac:dyDescent="0.25">
      <c r="B123" s="19">
        <f>B122+1</f>
        <v>104</v>
      </c>
      <c r="C123" s="54" t="s">
        <v>174</v>
      </c>
      <c r="D123" s="24" t="s">
        <v>175</v>
      </c>
      <c r="E123" s="25"/>
      <c r="F123" s="26"/>
      <c r="G123" s="25"/>
      <c r="H123" s="26"/>
    </row>
    <row r="124" spans="2:16384" x14ac:dyDescent="0.25">
      <c r="B124" s="19"/>
      <c r="C124" s="20"/>
      <c r="D124" s="55"/>
      <c r="E124" s="32"/>
      <c r="F124" s="32"/>
      <c r="G124" s="32"/>
      <c r="H124" s="32"/>
    </row>
    <row r="125" spans="2:16384" x14ac:dyDescent="0.25">
      <c r="B125" s="19"/>
      <c r="C125" s="39"/>
      <c r="D125" s="30"/>
      <c r="E125" s="25"/>
      <c r="F125" s="26"/>
      <c r="G125" s="25"/>
      <c r="H125" s="26"/>
    </row>
    <row r="126" spans="2:16384" x14ac:dyDescent="0.25">
      <c r="B126" s="19"/>
      <c r="C126" s="39"/>
      <c r="D126" s="30"/>
      <c r="E126" s="25"/>
      <c r="F126" s="26"/>
      <c r="G126" s="25"/>
      <c r="H126" s="26"/>
    </row>
    <row r="127" spans="2:16384" x14ac:dyDescent="0.25">
      <c r="C127" s="6" t="s">
        <v>176</v>
      </c>
      <c r="D127" s="8"/>
      <c r="E127" s="56">
        <f>IF((E$130+E$131)&gt;0,E$130/(E$130+E$131),0)</f>
        <v>1</v>
      </c>
      <c r="F127" s="57"/>
      <c r="G127" s="56">
        <f>IF((G$130+G$131)&gt;0,G$130/(G$130+G$131),0)</f>
        <v>0</v>
      </c>
      <c r="H127" s="57"/>
    </row>
    <row r="128" spans="2:16384" x14ac:dyDescent="0.25">
      <c r="C128" s="58"/>
      <c r="D128" s="59"/>
      <c r="E128" s="60"/>
      <c r="F128" s="61"/>
      <c r="G128" s="60"/>
      <c r="H128" s="61"/>
    </row>
    <row r="129" spans="2:8" x14ac:dyDescent="0.25">
      <c r="C129" s="58" t="s">
        <v>177</v>
      </c>
      <c r="D129" s="59"/>
      <c r="E129" s="62">
        <f>COUNT($B$11:$B$126)</f>
        <v>104</v>
      </c>
      <c r="F129" s="61"/>
      <c r="G129" s="62">
        <f>COUNT($B$11:$B$126)</f>
        <v>104</v>
      </c>
      <c r="H129" s="61"/>
    </row>
    <row r="130" spans="2:8" x14ac:dyDescent="0.25">
      <c r="C130" s="63" t="s">
        <v>178</v>
      </c>
      <c r="E130" s="62">
        <f>COUNTIF(E$11:E$126,"OK")</f>
        <v>19</v>
      </c>
      <c r="G130" s="62">
        <f>COUNTIF(G$11:G$126,"OK")</f>
        <v>0</v>
      </c>
    </row>
    <row r="131" spans="2:8" x14ac:dyDescent="0.25">
      <c r="C131" s="65" t="s">
        <v>179</v>
      </c>
      <c r="D131" s="66"/>
      <c r="E131" s="62">
        <f>COUNTIF(E$11:E$126,"NO OK")</f>
        <v>0</v>
      </c>
      <c r="G131" s="62">
        <f>COUNTIF(G$11:G$126,"NO OK")</f>
        <v>0</v>
      </c>
    </row>
    <row r="132" spans="2:8" x14ac:dyDescent="0.25">
      <c r="C132" s="63" t="s">
        <v>180</v>
      </c>
      <c r="E132" s="62">
        <f>COUNTIF(E$11:E$126,"No Aplica")</f>
        <v>10</v>
      </c>
      <c r="G132" s="62">
        <f>COUNTIF(G$11:G$126,"No Aplica")</f>
        <v>0</v>
      </c>
    </row>
    <row r="133" spans="2:8" x14ac:dyDescent="0.25">
      <c r="E133" s="62"/>
      <c r="G133" s="62"/>
    </row>
    <row r="134" spans="2:8" s="69" customFormat="1" ht="37.5" customHeight="1" x14ac:dyDescent="0.25">
      <c r="B134" s="67"/>
      <c r="C134" s="64"/>
      <c r="D134" s="64"/>
      <c r="E134" s="68" t="str">
        <f>IF(SUM(E$130:E$132)&lt;E$129, "Todavía faltan puntos por calificar.","Se han calificado ya todos los puntos para este Producto.")</f>
        <v>Todavía faltan puntos por calificar.</v>
      </c>
      <c r="G134" s="68" t="str">
        <f>IF(SUM(G$130:G$132)&lt;G$129, "Todavía faltan puntos por calificar.","Se han calificado ya todos los puntos para este Producto.")</f>
        <v>Todavía faltan puntos por calificar.</v>
      </c>
    </row>
  </sheetData>
  <autoFilter ref="B9:H127" xr:uid="{00000000-0009-0000-0000-000001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54 E56:E63 E65:E68 E70:E89 E91:E109 E111:E119 E121:E123 E125:E126 G11:G20 G22:G27 G30:G54 G56:G63 G65:G68 G70:G89 G91:G109 G111:G119 G121:G123 G125:G126" xr:uid="{00000000-0002-0000-01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/>
  </sheetViews>
  <sheetFormatPr defaultRowHeight="14.5" x14ac:dyDescent="0.35"/>
  <sheetData>
    <row r="1" spans="1:3" x14ac:dyDescent="0.35">
      <c r="A1" t="s">
        <v>181</v>
      </c>
      <c r="B1" t="s">
        <v>182</v>
      </c>
      <c r="C1" t="s">
        <v>183</v>
      </c>
    </row>
    <row r="2" spans="1:3" x14ac:dyDescent="0.35">
      <c r="A2">
        <v>3</v>
      </c>
      <c r="B2" t="s">
        <v>3</v>
      </c>
      <c r="C2" t="s">
        <v>184</v>
      </c>
    </row>
    <row r="3" spans="1:3" x14ac:dyDescent="0.35">
      <c r="A3">
        <v>4</v>
      </c>
      <c r="B3" t="s">
        <v>6</v>
      </c>
      <c r="C3" t="s">
        <v>185</v>
      </c>
    </row>
    <row r="4" spans="1:3" x14ac:dyDescent="0.35">
      <c r="A4">
        <v>6</v>
      </c>
      <c r="B4" t="s">
        <v>7</v>
      </c>
      <c r="C4" t="s">
        <v>186</v>
      </c>
    </row>
    <row r="5" spans="1:3" x14ac:dyDescent="0.35">
      <c r="A5">
        <v>8</v>
      </c>
      <c r="B5" t="s">
        <v>11</v>
      </c>
      <c r="C5" t="s">
        <v>187</v>
      </c>
    </row>
    <row r="6" spans="1:3" x14ac:dyDescent="0.35">
      <c r="A6">
        <v>9</v>
      </c>
      <c r="B6" t="s">
        <v>14</v>
      </c>
      <c r="C6" t="s">
        <v>188</v>
      </c>
    </row>
    <row r="7" spans="1:3" x14ac:dyDescent="0.35">
      <c r="A7">
        <v>10</v>
      </c>
      <c r="B7" t="s">
        <v>19</v>
      </c>
      <c r="C7" t="s">
        <v>189</v>
      </c>
    </row>
    <row r="8" spans="1:3" x14ac:dyDescent="0.35">
      <c r="A8">
        <v>11</v>
      </c>
      <c r="B8" t="s">
        <v>20</v>
      </c>
      <c r="C8" t="s">
        <v>190</v>
      </c>
    </row>
    <row r="9" spans="1:3" x14ac:dyDescent="0.35">
      <c r="A9">
        <v>12</v>
      </c>
      <c r="B9" t="s">
        <v>22</v>
      </c>
      <c r="C9" t="s">
        <v>191</v>
      </c>
    </row>
    <row r="10" spans="1:3" x14ac:dyDescent="0.35">
      <c r="A10">
        <v>13</v>
      </c>
      <c r="B10" t="s">
        <v>24</v>
      </c>
      <c r="C10" t="s">
        <v>192</v>
      </c>
    </row>
    <row r="11" spans="1:3" x14ac:dyDescent="0.35">
      <c r="A11">
        <v>14</v>
      </c>
      <c r="B11" t="s">
        <v>26</v>
      </c>
      <c r="C11" t="s">
        <v>193</v>
      </c>
    </row>
    <row r="12" spans="1:3" x14ac:dyDescent="0.35">
      <c r="A12">
        <v>15</v>
      </c>
      <c r="B12" t="s">
        <v>28</v>
      </c>
      <c r="C12" t="s">
        <v>194</v>
      </c>
    </row>
    <row r="13" spans="1:3" x14ac:dyDescent="0.35">
      <c r="A13">
        <v>16</v>
      </c>
      <c r="B13" t="s">
        <v>30</v>
      </c>
      <c r="C13" t="s">
        <v>195</v>
      </c>
    </row>
    <row r="14" spans="1:3" x14ac:dyDescent="0.35">
      <c r="A14">
        <v>17</v>
      </c>
      <c r="B14" t="s">
        <v>32</v>
      </c>
      <c r="C14" t="s">
        <v>196</v>
      </c>
    </row>
    <row r="15" spans="1:3" x14ac:dyDescent="0.35">
      <c r="A15">
        <v>18</v>
      </c>
      <c r="B15" t="s">
        <v>34</v>
      </c>
      <c r="C15" t="s">
        <v>197</v>
      </c>
    </row>
    <row r="16" spans="1:3" x14ac:dyDescent="0.35">
      <c r="A16">
        <v>19</v>
      </c>
      <c r="B16" t="s">
        <v>36</v>
      </c>
      <c r="C16" t="s">
        <v>198</v>
      </c>
    </row>
    <row r="17" spans="1:3" x14ac:dyDescent="0.35">
      <c r="A17">
        <v>20</v>
      </c>
      <c r="B17" t="s">
        <v>38</v>
      </c>
      <c r="C17" t="s">
        <v>199</v>
      </c>
    </row>
    <row r="18" spans="1:3" x14ac:dyDescent="0.35">
      <c r="A18">
        <v>21</v>
      </c>
      <c r="B18" t="s">
        <v>40</v>
      </c>
      <c r="C18" t="s">
        <v>200</v>
      </c>
    </row>
    <row r="19" spans="1:3" x14ac:dyDescent="0.35">
      <c r="A19">
        <v>22</v>
      </c>
      <c r="B19" t="s">
        <v>42</v>
      </c>
      <c r="C19" t="s">
        <v>201</v>
      </c>
    </row>
    <row r="20" spans="1:3" x14ac:dyDescent="0.35">
      <c r="A20">
        <v>23</v>
      </c>
      <c r="B20" t="s">
        <v>44</v>
      </c>
      <c r="C20" t="s">
        <v>202</v>
      </c>
    </row>
    <row r="21" spans="1:3" x14ac:dyDescent="0.35">
      <c r="A21">
        <v>24</v>
      </c>
      <c r="B21" t="s">
        <v>46</v>
      </c>
      <c r="C21" t="s">
        <v>203</v>
      </c>
    </row>
    <row r="22" spans="1:3" x14ac:dyDescent="0.35">
      <c r="A22">
        <v>25</v>
      </c>
      <c r="B22" t="s">
        <v>48</v>
      </c>
      <c r="C22" t="s">
        <v>204</v>
      </c>
    </row>
    <row r="23" spans="1:3" x14ac:dyDescent="0.35">
      <c r="A23">
        <v>26</v>
      </c>
      <c r="B23" t="s">
        <v>50</v>
      </c>
      <c r="C23" t="s">
        <v>205</v>
      </c>
    </row>
    <row r="24" spans="1:3" x14ac:dyDescent="0.35">
      <c r="A24">
        <v>27</v>
      </c>
      <c r="B24" t="s">
        <v>52</v>
      </c>
      <c r="C24" t="s">
        <v>206</v>
      </c>
    </row>
    <row r="25" spans="1:3" x14ac:dyDescent="0.35">
      <c r="A25">
        <v>28</v>
      </c>
      <c r="B25" t="s">
        <v>53</v>
      </c>
      <c r="C25" t="s">
        <v>207</v>
      </c>
    </row>
    <row r="26" spans="1:3" x14ac:dyDescent="0.35">
      <c r="A26">
        <v>29</v>
      </c>
      <c r="B26" t="s">
        <v>55</v>
      </c>
      <c r="C26" t="s">
        <v>208</v>
      </c>
    </row>
    <row r="27" spans="1:3" x14ac:dyDescent="0.35">
      <c r="A27">
        <v>50</v>
      </c>
      <c r="B27" t="s">
        <v>84</v>
      </c>
      <c r="C27" t="s">
        <v>209</v>
      </c>
    </row>
    <row r="28" spans="1:3" x14ac:dyDescent="0.35">
      <c r="A28">
        <v>51</v>
      </c>
      <c r="B28" t="s">
        <v>86</v>
      </c>
      <c r="C28" t="s">
        <v>210</v>
      </c>
    </row>
    <row r="29" spans="1:3" x14ac:dyDescent="0.35">
      <c r="A29">
        <v>55</v>
      </c>
      <c r="B29" t="s">
        <v>94</v>
      </c>
      <c r="C29" t="s">
        <v>211</v>
      </c>
    </row>
    <row r="30" spans="1:3" x14ac:dyDescent="0.35">
      <c r="A30">
        <v>56</v>
      </c>
      <c r="B30" t="s">
        <v>95</v>
      </c>
      <c r="C30" t="s">
        <v>212</v>
      </c>
    </row>
    <row r="31" spans="1:3" x14ac:dyDescent="0.35">
      <c r="A31">
        <v>57</v>
      </c>
      <c r="B31" t="s">
        <v>97</v>
      </c>
      <c r="C31" t="s">
        <v>213</v>
      </c>
    </row>
    <row r="32" spans="1:3" x14ac:dyDescent="0.35">
      <c r="A32">
        <v>58</v>
      </c>
      <c r="B32" t="s">
        <v>99</v>
      </c>
      <c r="C32" t="s">
        <v>214</v>
      </c>
    </row>
    <row r="33" spans="1:3" x14ac:dyDescent="0.35">
      <c r="A33">
        <v>59</v>
      </c>
      <c r="B33" t="s">
        <v>101</v>
      </c>
      <c r="C33" t="s">
        <v>215</v>
      </c>
    </row>
    <row r="34" spans="1:3" x14ac:dyDescent="0.35">
      <c r="A34">
        <v>60</v>
      </c>
      <c r="B34" t="s">
        <v>103</v>
      </c>
      <c r="C34" t="s">
        <v>216</v>
      </c>
    </row>
    <row r="35" spans="1:3" x14ac:dyDescent="0.35">
      <c r="A35">
        <v>61</v>
      </c>
      <c r="B35" t="s">
        <v>105</v>
      </c>
      <c r="C35" t="s">
        <v>217</v>
      </c>
    </row>
    <row r="36" spans="1:3" x14ac:dyDescent="0.35">
      <c r="A36">
        <v>62</v>
      </c>
      <c r="B36" t="s">
        <v>107</v>
      </c>
      <c r="C36" t="s">
        <v>218</v>
      </c>
    </row>
    <row r="37" spans="1:3" x14ac:dyDescent="0.35">
      <c r="A37">
        <v>63</v>
      </c>
      <c r="B37" t="s">
        <v>109</v>
      </c>
      <c r="C37" t="s">
        <v>219</v>
      </c>
    </row>
    <row r="38" spans="1:3" x14ac:dyDescent="0.35">
      <c r="A38">
        <v>64</v>
      </c>
      <c r="B38" t="s">
        <v>111</v>
      </c>
      <c r="C38" t="s">
        <v>220</v>
      </c>
    </row>
    <row r="39" spans="1:3" x14ac:dyDescent="0.35">
      <c r="A39">
        <v>66</v>
      </c>
      <c r="B39" t="s">
        <v>114</v>
      </c>
      <c r="C39" t="s">
        <v>221</v>
      </c>
    </row>
    <row r="40" spans="1:3" x14ac:dyDescent="0.35">
      <c r="A40">
        <v>69</v>
      </c>
      <c r="B40" t="s">
        <v>120</v>
      </c>
      <c r="C40" t="s">
        <v>222</v>
      </c>
    </row>
    <row r="41" spans="1:3" x14ac:dyDescent="0.35">
      <c r="A41">
        <v>70</v>
      </c>
      <c r="B41" t="s">
        <v>121</v>
      </c>
      <c r="C41" t="s">
        <v>223</v>
      </c>
    </row>
    <row r="42" spans="1:3" x14ac:dyDescent="0.35">
      <c r="A42">
        <v>90</v>
      </c>
      <c r="B42" t="s">
        <v>138</v>
      </c>
      <c r="C42" t="s">
        <v>224</v>
      </c>
    </row>
    <row r="43" spans="1:3" x14ac:dyDescent="0.35">
      <c r="A43">
        <v>91</v>
      </c>
      <c r="B43" t="s">
        <v>139</v>
      </c>
      <c r="C43" t="s">
        <v>225</v>
      </c>
    </row>
    <row r="44" spans="1:3" x14ac:dyDescent="0.35">
      <c r="A44">
        <v>110</v>
      </c>
      <c r="B44" t="s">
        <v>152</v>
      </c>
      <c r="C44" t="s">
        <v>226</v>
      </c>
    </row>
    <row r="45" spans="1:3" x14ac:dyDescent="0.35">
      <c r="A45">
        <v>120</v>
      </c>
      <c r="B45" t="s">
        <v>169</v>
      </c>
      <c r="C45" t="s">
        <v>227</v>
      </c>
    </row>
    <row r="46" spans="1:3" x14ac:dyDescent="0.35">
      <c r="A46">
        <v>121</v>
      </c>
      <c r="B46" t="s">
        <v>170</v>
      </c>
      <c r="C46" t="s">
        <v>228</v>
      </c>
    </row>
    <row r="47" spans="1:3" x14ac:dyDescent="0.35">
      <c r="A47">
        <v>122</v>
      </c>
      <c r="B47" t="s">
        <v>172</v>
      </c>
      <c r="C47" t="s">
        <v>229</v>
      </c>
    </row>
    <row r="48" spans="1:3" x14ac:dyDescent="0.35">
      <c r="A48">
        <v>123</v>
      </c>
      <c r="B48" t="s">
        <v>174</v>
      </c>
      <c r="C48" t="s">
        <v>230</v>
      </c>
    </row>
    <row r="49" spans="1:3" x14ac:dyDescent="0.35">
      <c r="A49">
        <v>127</v>
      </c>
      <c r="B49" t="s">
        <v>176</v>
      </c>
      <c r="C49" t="s">
        <v>231</v>
      </c>
    </row>
    <row r="50" spans="1:3" x14ac:dyDescent="0.35">
      <c r="A50">
        <v>129</v>
      </c>
      <c r="B50" t="s">
        <v>177</v>
      </c>
      <c r="C50" t="s">
        <v>232</v>
      </c>
    </row>
    <row r="51" spans="1:3" x14ac:dyDescent="0.35">
      <c r="A51">
        <v>130</v>
      </c>
      <c r="B51" t="s">
        <v>178</v>
      </c>
      <c r="C51" t="s">
        <v>233</v>
      </c>
    </row>
    <row r="52" spans="1:3" x14ac:dyDescent="0.35">
      <c r="A52">
        <v>131</v>
      </c>
      <c r="B52" t="s">
        <v>179</v>
      </c>
      <c r="C52" t="s">
        <v>234</v>
      </c>
    </row>
    <row r="53" spans="1:3" x14ac:dyDescent="0.35">
      <c r="A53">
        <v>132</v>
      </c>
      <c r="B53" t="s">
        <v>180</v>
      </c>
      <c r="C53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Chk Gerente de operación</vt:lpstr>
      <vt:lpstr>02 Chk Gerente de operación (2)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2026-04-14T02:54:26Z</dcterms:created>
  <dcterms:modified xsi:type="dcterms:W3CDTF">2026-04-14T20:12:05Z</dcterms:modified>
</cp:coreProperties>
</file>